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drawings/drawing2.xml" ContentType="application/vnd.openxmlformats-officedocument.drawing+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drawings/drawing3.xml" ContentType="application/vnd.openxmlformats-officedocument.drawing+xml"/>
  <Override PartName="/xl/ctrlProps/ctrlProp24.xml" ContentType="application/vnd.ms-excel.controlproperties+xml"/>
  <Override PartName="/xl/ctrlProps/ctrlProp25.xml" ContentType="application/vnd.ms-excel.controlproperties+xml"/>
  <Override PartName="/xl/drawings/drawing4.xml" ContentType="application/vnd.openxmlformats-officedocument.drawing+xml"/>
  <Override PartName="/xl/ctrlProps/ctrlProp26.xml" ContentType="application/vnd.ms-excel.controlproperties+xml"/>
  <Override PartName="/xl/ctrlProps/ctrlProp27.xml" ContentType="application/vnd.ms-excel.controlproperties+xml"/>
  <Override PartName="/xl/drawings/drawing5.xml" ContentType="application/vnd.openxmlformats-officedocument.drawing+xml"/>
  <Override PartName="/xl/ctrlProps/ctrlProp28.xml" ContentType="application/vnd.ms-excel.controlproperti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showInkAnnotation="0" codeName="ThisWorkbook"/>
  <mc:AlternateContent xmlns:mc="http://schemas.openxmlformats.org/markup-compatibility/2006">
    <mc:Choice Requires="x15">
      <x15ac:absPath xmlns:x15ac="http://schemas.microsoft.com/office/spreadsheetml/2010/11/ac" url="U:\Work\2. Projects\231001_240930 - AMMTO FY24 (Digital)\Task 4.1 - Fatigue Predictions\15. Dataset Release\"/>
    </mc:Choice>
  </mc:AlternateContent>
  <xr:revisionPtr revIDLastSave="0" documentId="13_ncr:1_{36D48F8D-B9A2-4341-8418-4ACB8418C102}" xr6:coauthVersionLast="47" xr6:coauthVersionMax="47" xr10:uidLastSave="{00000000-0000-0000-0000-000000000000}"/>
  <bookViews>
    <workbookView xWindow="10185" yWindow="570" windowWidth="16200" windowHeight="15435" tabRatio="917" firstSheet="9" activeTab="9" xr2:uid="{00000000-000D-0000-FFFF-FFFF00000000}"/>
  </bookViews>
  <sheets>
    <sheet name="Test Selection" sheetId="191" state="hidden" r:id="rId1"/>
    <sheet name="Load Control Input" sheetId="192" state="hidden" r:id="rId2"/>
    <sheet name="10-123-01-01 - S1" sheetId="195" state="hidden" r:id="rId3"/>
    <sheet name="10-123-01-01 - S2" sheetId="203" state="hidden" r:id="rId4"/>
    <sheet name="FTS" sheetId="196" state="hidden" r:id="rId5"/>
    <sheet name="21-210-01-01 Labels" sheetId="197" state="hidden" r:id="rId6"/>
    <sheet name="MRI 1061" sheetId="198" state="hidden" r:id="rId7"/>
    <sheet name="21-210-01-01 Spec Instr" sheetId="199" state="hidden" r:id="rId8"/>
    <sheet name="J Drive" sheetId="200" state="hidden" r:id="rId9"/>
    <sheet name="Table I" sheetId="201" r:id="rId10"/>
    <sheet name="Table II" sheetId="204" r:id="rId11"/>
    <sheet name="PO Amount" sheetId="202" state="hidden" r:id="rId12"/>
    <sheet name="Revision History" sheetId="194" state="hidden" r:id="rId13"/>
  </sheets>
  <externalReferences>
    <externalReference r:id="rId14"/>
    <externalReference r:id="rId15"/>
  </externalReferences>
  <definedNames>
    <definedName name="Crack1820">OFFSET('[1]1820 Raw Data'!$F$3,0,0,COUNT('[1]1820 Raw Data'!$F:$F),1)</definedName>
    <definedName name="Crack813">OFFSET('[1]1820 Raw Data'!$F$3,0,0,COUNT('[1]1820 Raw Data'!$F:$F),1)</definedName>
    <definedName name="CTOD_raw">OFFSET('[1]1820 Raw Data'!$H$3,0,0,COUNT('[1]1820 Raw Data'!$H:$H),1)</definedName>
    <definedName name="Da_1820_raw">OFFSET('[1]1820 Raw Data'!$G$3,0,0,COUNT('[1]1820 Raw Data'!$G:$G),1)</definedName>
    <definedName name="Da_1820_reduced_1">OFFSET('[1]1820 Reduced Data'!$B$3,0,0,COUNT('[1]1820 Reduced Data'!$B:$B),1)</definedName>
    <definedName name="Da_1820_reduced_2">OFFSET('[1]1820 Reduced Data'!$D$3,0,0,COUNT('[1]1820 Reduced Data'!$D:$D),1)</definedName>
    <definedName name="Da_1921">OFFSET('[1]1921 Raw Data'!$G$3,0,0,COUNT('[1]1921 Raw Data'!$G:$G),1)</definedName>
    <definedName name="Da_813_raw">OFFSET(#REF!,0,0,COUNT(#REF!),1)</definedName>
    <definedName name="Da_813_reduced_1">OFFSET(#REF!,0,0,COUNT(#REF!),1)</definedName>
    <definedName name="Da_813_reduced_2">OFFSET(#REF!,0,0,COUNT(#REF!),1)</definedName>
    <definedName name="Da_Normalized_N">OFFSET(#REF!,0,0,COUNT(#REF!),1)</definedName>
    <definedName name="Da_reduced_1">OFFSET('[1]1820 Reduced Data'!$B$3,0,0,COUNT('[1]1820 Reduced Data'!$B:$B),1)</definedName>
    <definedName name="Da_reduced_1_N">OFFSET(#REF!,0,0,COUNT(#REF!),1)</definedName>
    <definedName name="Da_reduced_2">OFFSET('[1]1820 Reduced Data'!$D$3,0,0,COUNT('[1]1820 Reduced Data'!$D:$D),1)</definedName>
    <definedName name="Da_reduced_2_N">OFFSET(#REF!,0,0,COUNT(#REF!),1)</definedName>
    <definedName name="Disp">OFFSET('[2]Timed Data'!$C$2,0,0,COUNT('[2]Timed Data'!$C:$C),1)</definedName>
    <definedName name="Disp_KIC">OFFSET('[2]Reg Data'!$C$2,0,0,COUNT('[2]Reg Data'!$C:$C),1)</definedName>
    <definedName name="Disp1_raw">OFFSET('[1]1820 Raw Data'!$D$3,0,0,COUNT('[1]1820 Raw Data'!$D:$D),1)</definedName>
    <definedName name="Disp2_raw">OFFSET('[1]1820 Raw Data'!$E$3,0,0,COUNT('[1]1820 Raw Data'!$E:$E),1)</definedName>
    <definedName name="First_Day_Rate_By_Code">#REF!</definedName>
    <definedName name="Force_raw">OFFSET('[1]1820 Raw Data'!$C$3,0,0,COUNT('[1]1820 Raw Data'!$C:$C),1)</definedName>
    <definedName name="ForceN_raw">OFFSET(#REF!,0,0,COUNT(#REF!),1)</definedName>
    <definedName name="Index_raw">OFFSET('[1]1820 Raw Data'!$A$3,0,0,COUNT('[1]1820 Raw Data'!$A:$A),1)</definedName>
    <definedName name="J1820_Normalized_N">OFFSET(#REF!,0,0,COUNT(#REF!),1)</definedName>
    <definedName name="J1820_raw">OFFSET('[1]1820 Raw Data'!$L$3,0,0,COUNT('[1]1820 Raw Data'!$L:$L),1)</definedName>
    <definedName name="J1820_reduced_1">OFFSET('[1]1820 Reduced Data'!$C$3,0,0,COUNT('[1]1820 Reduced Data'!$C:$C),1)</definedName>
    <definedName name="J1820_reduced_1_N">OFFSET(#REF!,0,0,COUNT(#REF!),1)</definedName>
    <definedName name="J1820_reduced_2">OFFSET('[1]1820 Reduced Data'!$E$3,0,0,COUNT('[1]1820 Reduced Data'!$E:$E),1)</definedName>
    <definedName name="J1820_reduced_2_N">OFFSET(#REF!,0,0,COUNT(#REF!),1)</definedName>
    <definedName name="J813_raw">OFFSET(#REF!,0,0,COUNT(#REF!),1)</definedName>
    <definedName name="J813_reduced_1">OFFSET(#REF!,0,0,COUNT(#REF!),1)</definedName>
    <definedName name="J813_reduced_2">OFFSET(#REF!,0,0,COUNT(#REF!),1)</definedName>
    <definedName name="k">OFFSET(#REF!,0,0,COUNT(#REF!),1)</definedName>
    <definedName name="K1820_raw">OFFSET('[1]1820 Raw Data'!$J$3,0,0,COUNT('[1]1820 Raw Data'!$J:$J),1)</definedName>
    <definedName name="K1921_raw">OFFSET('[1]1921 Raw Data'!$I$3,0,0,COUNT('[1]1921 Raw Data'!$G:$G),1)</definedName>
    <definedName name="K561_raw">OFFSET('[1]1820 Raw Data'!$I$3,0,0,COUNT('[1]1820 Raw Data'!$I:$I),1)</definedName>
    <definedName name="KJ1820_raw">OFFSET('[1]1820 Raw Data'!$K$3,0,0,COUNT('[1]1820 Raw Data'!$K:$K),1)</definedName>
    <definedName name="Load">OFFSET('[2]Timed Data'!$B$2,0,0,COUNT('[2]Timed Data'!$B:$B),1)</definedName>
    <definedName name="Load_KIC">OFFSET('[2]Reg Data'!$B$2,0,0,COUNT('[2]Reg Data'!$B:$B),1)</definedName>
    <definedName name="Time">OFFSET('[2]Timed Data'!$A$2,0,0,COUNT('[2]Timed Data'!$A:$A),1)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9" i="204" l="1"/>
  <c r="L39" i="204"/>
  <c r="K39" i="204"/>
  <c r="N39" i="204" s="1"/>
  <c r="F39" i="204"/>
  <c r="D39" i="204"/>
  <c r="T38" i="204"/>
  <c r="L38" i="204"/>
  <c r="K38" i="204"/>
  <c r="N38" i="204" s="1"/>
  <c r="F38" i="204"/>
  <c r="D38" i="204"/>
  <c r="T37" i="204"/>
  <c r="L37" i="204"/>
  <c r="K37" i="204"/>
  <c r="N37" i="204" s="1"/>
  <c r="F37" i="204"/>
  <c r="D37" i="204"/>
  <c r="T36" i="204"/>
  <c r="L36" i="204"/>
  <c r="K36" i="204"/>
  <c r="N36" i="204" s="1"/>
  <c r="F36" i="204"/>
  <c r="D36" i="204"/>
  <c r="T35" i="204"/>
  <c r="L35" i="204"/>
  <c r="K35" i="204"/>
  <c r="N35" i="204" s="1"/>
  <c r="F35" i="204"/>
  <c r="D35" i="204"/>
  <c r="T34" i="204"/>
  <c r="L34" i="204"/>
  <c r="K34" i="204"/>
  <c r="J34" i="204" s="1"/>
  <c r="M34" i="204" s="1"/>
  <c r="F34" i="204"/>
  <c r="D34" i="204"/>
  <c r="T33" i="204"/>
  <c r="L33" i="204"/>
  <c r="K33" i="204"/>
  <c r="J33" i="204" s="1"/>
  <c r="M33" i="204" s="1"/>
  <c r="F33" i="204"/>
  <c r="D33" i="204"/>
  <c r="T32" i="204"/>
  <c r="L32" i="204"/>
  <c r="K32" i="204"/>
  <c r="J32" i="204" s="1"/>
  <c r="M32" i="204" s="1"/>
  <c r="F32" i="204"/>
  <c r="D32" i="204"/>
  <c r="T31" i="204"/>
  <c r="L31" i="204"/>
  <c r="K31" i="204"/>
  <c r="N31" i="204" s="1"/>
  <c r="F31" i="204"/>
  <c r="D31" i="204"/>
  <c r="T30" i="204"/>
  <c r="L30" i="204"/>
  <c r="K30" i="204"/>
  <c r="N30" i="204" s="1"/>
  <c r="F30" i="204"/>
  <c r="D30" i="204"/>
  <c r="T29" i="204"/>
  <c r="L29" i="204"/>
  <c r="K29" i="204"/>
  <c r="N29" i="204" s="1"/>
  <c r="F29" i="204"/>
  <c r="D29" i="204"/>
  <c r="T28" i="204"/>
  <c r="L28" i="204"/>
  <c r="K28" i="204"/>
  <c r="N28" i="204" s="1"/>
  <c r="F28" i="204"/>
  <c r="D28" i="204"/>
  <c r="T27" i="204"/>
  <c r="L27" i="204"/>
  <c r="K27" i="204"/>
  <c r="N27" i="204" s="1"/>
  <c r="F27" i="204"/>
  <c r="D27" i="204"/>
  <c r="T26" i="204"/>
  <c r="L26" i="204"/>
  <c r="K26" i="204"/>
  <c r="N26" i="204" s="1"/>
  <c r="F26" i="204"/>
  <c r="D26" i="204"/>
  <c r="T25" i="204"/>
  <c r="L25" i="204"/>
  <c r="K25" i="204"/>
  <c r="N25" i="204" s="1"/>
  <c r="F25" i="204"/>
  <c r="D25" i="204"/>
  <c r="T24" i="204"/>
  <c r="L24" i="204"/>
  <c r="K24" i="204"/>
  <c r="N24" i="204" s="1"/>
  <c r="F24" i="204"/>
  <c r="D24" i="204"/>
  <c r="T23" i="204"/>
  <c r="L23" i="204"/>
  <c r="K23" i="204"/>
  <c r="J23" i="204" s="1"/>
  <c r="M23" i="204" s="1"/>
  <c r="F23" i="204"/>
  <c r="D23" i="204"/>
  <c r="T22" i="204"/>
  <c r="L22" i="204"/>
  <c r="K22" i="204"/>
  <c r="N22" i="204" s="1"/>
  <c r="F22" i="204"/>
  <c r="D22" i="204"/>
  <c r="T21" i="204"/>
  <c r="L21" i="204"/>
  <c r="K21" i="204"/>
  <c r="N21" i="204" s="1"/>
  <c r="F21" i="204"/>
  <c r="D21" i="204"/>
  <c r="T20" i="204"/>
  <c r="L20" i="204"/>
  <c r="K20" i="204"/>
  <c r="J20" i="204" s="1"/>
  <c r="M20" i="204" s="1"/>
  <c r="F20" i="204"/>
  <c r="D20" i="204"/>
  <c r="T19" i="204"/>
  <c r="L19" i="204"/>
  <c r="K19" i="204"/>
  <c r="N19" i="204" s="1"/>
  <c r="F19" i="204"/>
  <c r="D19" i="204"/>
  <c r="T18" i="204"/>
  <c r="L18" i="204"/>
  <c r="K18" i="204"/>
  <c r="J18" i="204" s="1"/>
  <c r="M18" i="204" s="1"/>
  <c r="F18" i="204"/>
  <c r="D18" i="204"/>
  <c r="T17" i="204"/>
  <c r="L17" i="204"/>
  <c r="K17" i="204"/>
  <c r="N17" i="204" s="1"/>
  <c r="F17" i="204"/>
  <c r="D17" i="204"/>
  <c r="T16" i="204"/>
  <c r="L16" i="204"/>
  <c r="K16" i="204"/>
  <c r="N16" i="204" s="1"/>
  <c r="F16" i="204"/>
  <c r="D16" i="204"/>
  <c r="T15" i="204"/>
  <c r="L15" i="204"/>
  <c r="K15" i="204"/>
  <c r="N15" i="204" s="1"/>
  <c r="F15" i="204"/>
  <c r="D15" i="204"/>
  <c r="T14" i="204"/>
  <c r="L14" i="204"/>
  <c r="K14" i="204"/>
  <c r="N14" i="204" s="1"/>
  <c r="F14" i="204"/>
  <c r="D14" i="204"/>
  <c r="T13" i="204"/>
  <c r="L13" i="204"/>
  <c r="K13" i="204"/>
  <c r="N13" i="204" s="1"/>
  <c r="F13" i="204"/>
  <c r="D13" i="204"/>
  <c r="T12" i="204"/>
  <c r="L12" i="204"/>
  <c r="K12" i="204"/>
  <c r="N12" i="204" s="1"/>
  <c r="F12" i="204"/>
  <c r="D12" i="204"/>
  <c r="T11" i="204"/>
  <c r="L11" i="204"/>
  <c r="K11" i="204"/>
  <c r="N11" i="204" s="1"/>
  <c r="F11" i="204"/>
  <c r="D11" i="204"/>
  <c r="T10" i="204"/>
  <c r="L10" i="204"/>
  <c r="K10" i="204"/>
  <c r="J10" i="204" s="1"/>
  <c r="M10" i="204" s="1"/>
  <c r="F10" i="204"/>
  <c r="D10" i="204"/>
  <c r="Q2" i="204"/>
  <c r="C6" i="203"/>
  <c r="B6" i="203"/>
  <c r="C6" i="195"/>
  <c r="B6" i="195"/>
  <c r="I3" i="194"/>
  <c r="J37" i="204" l="1"/>
  <c r="M37" i="204" s="1"/>
  <c r="N33" i="204"/>
  <c r="J39" i="204"/>
  <c r="M39" i="204" s="1"/>
  <c r="J35" i="204"/>
  <c r="M35" i="204" s="1"/>
  <c r="J38" i="204"/>
  <c r="M38" i="204" s="1"/>
  <c r="J36" i="204"/>
  <c r="M36" i="204" s="1"/>
  <c r="J31" i="204"/>
  <c r="M31" i="204" s="1"/>
  <c r="J22" i="204"/>
  <c r="M22" i="204" s="1"/>
  <c r="J26" i="204"/>
  <c r="M26" i="204" s="1"/>
  <c r="J29" i="204"/>
  <c r="M29" i="204" s="1"/>
  <c r="J30" i="204"/>
  <c r="M30" i="204" s="1"/>
  <c r="J28" i="204"/>
  <c r="M28" i="204" s="1"/>
  <c r="J25" i="204"/>
  <c r="M25" i="204" s="1"/>
  <c r="J17" i="204"/>
  <c r="M17" i="204" s="1"/>
  <c r="N20" i="204"/>
  <c r="J24" i="204"/>
  <c r="M24" i="204" s="1"/>
  <c r="J15" i="204"/>
  <c r="M15" i="204" s="1"/>
  <c r="N23" i="204"/>
  <c r="J21" i="204"/>
  <c r="M21" i="204" s="1"/>
  <c r="N18" i="204"/>
  <c r="J16" i="204"/>
  <c r="M16" i="204" s="1"/>
  <c r="J19" i="204"/>
  <c r="M19" i="204" s="1"/>
  <c r="N32" i="204"/>
  <c r="J14" i="204"/>
  <c r="M14" i="204" s="1"/>
  <c r="J11" i="204"/>
  <c r="M11" i="204" s="1"/>
  <c r="J12" i="204"/>
  <c r="M12" i="204" s="1"/>
  <c r="J13" i="204"/>
  <c r="M13" i="204" s="1"/>
  <c r="J27" i="204"/>
  <c r="M27" i="204" s="1"/>
  <c r="B10" i="202"/>
  <c r="B5" i="202"/>
  <c r="N34" i="204"/>
  <c r="N10" i="204"/>
  <c r="I11" i="202" l="1"/>
</calcChain>
</file>

<file path=xl/sharedStrings.xml><?xml version="1.0" encoding="utf-8"?>
<sst xmlns="http://schemas.openxmlformats.org/spreadsheetml/2006/main" count="604" uniqueCount="287">
  <si>
    <t>Metcut Research Program Setup</t>
  </si>
  <si>
    <t>Engineer:</t>
  </si>
  <si>
    <t>Project Number:</t>
  </si>
  <si>
    <t>PO Number:</t>
  </si>
  <si>
    <t>Customer Contact:</t>
  </si>
  <si>
    <t>Static Setups</t>
  </si>
  <si>
    <t>Fracture Mechanics Setups</t>
  </si>
  <si>
    <t>Miscellaneous Setups</t>
  </si>
  <si>
    <t>Machining Only Setup</t>
  </si>
  <si>
    <t>Fatigue Setups</t>
  </si>
  <si>
    <t>Ben Stone</t>
  </si>
  <si>
    <t>Brooke Gronemeier</t>
  </si>
  <si>
    <t>Casey Pieper</t>
  </si>
  <si>
    <t>Chase Lanier</t>
  </si>
  <si>
    <t>Chris Leonhardt</t>
  </si>
  <si>
    <t>Gavin Griffith</t>
  </si>
  <si>
    <t>Joe Paliobagis</t>
  </si>
  <si>
    <t>Jacob Scoles</t>
  </si>
  <si>
    <t>Joseph Carter</t>
  </si>
  <si>
    <t>4048-111379</t>
  </si>
  <si>
    <t>Zackary Snow</t>
  </si>
  <si>
    <t>Load Control Input</t>
  </si>
  <si>
    <t>US US Export Classification (If None, Leave Blank):</t>
  </si>
  <si>
    <t>Customer Reference:</t>
  </si>
  <si>
    <t>Contact:</t>
  </si>
  <si>
    <t>Company:</t>
  </si>
  <si>
    <t>Address 1:</t>
  </si>
  <si>
    <t>Address 2:</t>
  </si>
  <si>
    <t>Address 3:</t>
  </si>
  <si>
    <t>PO Amount for Testing:</t>
  </si>
  <si>
    <t>English / Metric:</t>
  </si>
  <si>
    <t>HCF / LCF:</t>
  </si>
  <si>
    <t>Ni Detect?:</t>
  </si>
  <si>
    <t>Specification:</t>
  </si>
  <si>
    <t>Mfg &amp; Test / Test Only:</t>
  </si>
  <si>
    <t>Test Cost Code:</t>
  </si>
  <si>
    <t>Mfg. Cost Code:</t>
  </si>
  <si>
    <t>Quantity by Test Code:</t>
  </si>
  <si>
    <t>Temperatures (No Units):</t>
  </si>
  <si>
    <t>Geometry / Thread:</t>
  </si>
  <si>
    <t>Specimen Type:</t>
  </si>
  <si>
    <t>Customer Drawing Company:</t>
  </si>
  <si>
    <t>JPEG Drawing:</t>
  </si>
  <si>
    <t>Drawing:</t>
  </si>
  <si>
    <t>Material:</t>
  </si>
  <si>
    <t>Max / Alt Assigned:</t>
  </si>
  <si>
    <t>R / A:</t>
  </si>
  <si>
    <t>Stress Ratio Value:</t>
  </si>
  <si>
    <t>Frequency (With Unit):</t>
  </si>
  <si>
    <t>Waveform:</t>
  </si>
  <si>
    <t>Removal Point:</t>
  </si>
  <si>
    <t>First Day Rate By Code:</t>
  </si>
  <si>
    <t>Hourly Rate By Code:</t>
  </si>
  <si>
    <t>ETDs by Test Code:</t>
  </si>
  <si>
    <t>Mfg. Completion Date:</t>
  </si>
  <si>
    <t>Date the Lab will Receive:</t>
  </si>
  <si>
    <t>Requested Test Completion Date:</t>
  </si>
  <si>
    <t>Requested Number of Test Frames:</t>
  </si>
  <si>
    <t>Email 3/19/2024</t>
  </si>
  <si>
    <t>Oak Ridge National Laboratory</t>
  </si>
  <si>
    <t>5200, 1 Bethel Valley Road</t>
  </si>
  <si>
    <t>Oak Ridge, TN 37830</t>
  </si>
  <si>
    <t>English</t>
  </si>
  <si>
    <t>HCF</t>
  </si>
  <si>
    <t>No</t>
  </si>
  <si>
    <t>ASTM E466-21</t>
  </si>
  <si>
    <t>Mfg &amp; Test</t>
  </si>
  <si>
    <t>21-210-01-01</t>
  </si>
  <si>
    <t>10-123-01-01</t>
  </si>
  <si>
    <t>1/2"-13 Threads</t>
  </si>
  <si>
    <t>Round</t>
  </si>
  <si>
    <t>MRI</t>
  </si>
  <si>
    <t>MRI 1061</t>
  </si>
  <si>
    <t>Stainless Steel 316H</t>
  </si>
  <si>
    <t>Max</t>
  </si>
  <si>
    <t>R</t>
  </si>
  <si>
    <t>30 Hz</t>
  </si>
  <si>
    <t>Sinusoidal</t>
  </si>
  <si>
    <t>10,000,000 Cycles</t>
  </si>
  <si>
    <t>To:</t>
  </si>
  <si>
    <t>ATTN: Zackary Snow</t>
  </si>
  <si>
    <t>Report No.:</t>
  </si>
  <si>
    <t>Date:</t>
  </si>
  <si>
    <t>Purchase Order:</t>
  </si>
  <si>
    <t>Reference:</t>
  </si>
  <si>
    <t>Test Specification:</t>
  </si>
  <si>
    <t>Temperature:</t>
  </si>
  <si>
    <t>75°F</t>
  </si>
  <si>
    <t>Frequency:</t>
  </si>
  <si>
    <t>Revision History</t>
  </si>
  <si>
    <t>Revision</t>
  </si>
  <si>
    <t>Owner</t>
  </si>
  <si>
    <t>Date</t>
  </si>
  <si>
    <t>Modification</t>
  </si>
  <si>
    <t>Initial Issue</t>
  </si>
  <si>
    <t>Round Specimen(s)</t>
  </si>
  <si>
    <t>Metcut Research Inc.</t>
  </si>
  <si>
    <t>Job Setup Checklist</t>
  </si>
  <si>
    <t>Job Number:</t>
  </si>
  <si>
    <t>4048-111379-10-123-01-01</t>
  </si>
  <si>
    <t>Scheduled Completion:</t>
  </si>
  <si>
    <t>Customer:</t>
  </si>
  <si>
    <t>Task Number:</t>
  </si>
  <si>
    <t>Quantity:</t>
  </si>
  <si>
    <t>Preliminary Information</t>
  </si>
  <si>
    <t>Yes / No</t>
  </si>
  <si>
    <t>Notes</t>
  </si>
  <si>
    <t>Material Available:</t>
  </si>
  <si>
    <t>Does Material Meet Dimensional Requirements:</t>
  </si>
  <si>
    <t>Cut-Up Required:</t>
  </si>
  <si>
    <t>New Specimen Drawing No.:</t>
  </si>
  <si>
    <t>Special Instructions:</t>
  </si>
  <si>
    <t>Save Excess Material:</t>
  </si>
  <si>
    <t>Orientation Required:</t>
  </si>
  <si>
    <t>Specimen IDs</t>
  </si>
  <si>
    <t>Shot Peen:</t>
  </si>
  <si>
    <t>Notch Radius / Notch Polish:</t>
  </si>
  <si>
    <t>Polish / Finish:</t>
  </si>
  <si>
    <t>Hi Jason,</t>
  </si>
  <si>
    <t>JRP</t>
  </si>
  <si>
    <t>Customer No:</t>
  </si>
  <si>
    <t>Project No:</t>
  </si>
  <si>
    <t>Cost Code:</t>
  </si>
  <si>
    <t>QTY:</t>
  </si>
  <si>
    <t>ETD's:</t>
  </si>
  <si>
    <t>Date the Lab will rec.:</t>
  </si>
  <si>
    <t>Requested Completion:</t>
  </si>
  <si>
    <t>Drawing No:</t>
  </si>
  <si>
    <t>Requested No. of Frames:</t>
  </si>
  <si>
    <t>Material: Stainless Steel 316H</t>
  </si>
  <si>
    <t>Qty = 60</t>
  </si>
  <si>
    <t>Load</t>
  </si>
  <si>
    <t>SPECIAL TEST INSTRUCTIONS</t>
  </si>
  <si>
    <t>JOB NUMBER:</t>
  </si>
  <si>
    <t>4048-111379-21-210-01-01</t>
  </si>
  <si>
    <t>Instructions Need Review Between Engineering and Lab</t>
  </si>
  <si>
    <t>Program Manager</t>
  </si>
  <si>
    <t>Engineer Check</t>
  </si>
  <si>
    <t>Coordinator / Technician</t>
  </si>
  <si>
    <t>Use drawing in QC Tab to determine fracture location.</t>
  </si>
  <si>
    <t>Reduce frequency if mechanical heating is observed.</t>
  </si>
  <si>
    <t>Use Summary on J Drive</t>
  </si>
  <si>
    <t>Print No.:</t>
  </si>
  <si>
    <t>Metcut Report No.:</t>
  </si>
  <si>
    <t>Metcut Engineer:</t>
  </si>
  <si>
    <t>PO No.:</t>
  </si>
  <si>
    <t>Test</t>
  </si>
  <si>
    <t>Number</t>
  </si>
  <si>
    <t>Specimen</t>
  </si>
  <si>
    <t>Test Temp.</t>
  </si>
  <si>
    <t>(°F)</t>
  </si>
  <si>
    <t>(°C)</t>
  </si>
  <si>
    <t>Frequency</t>
  </si>
  <si>
    <t>(Hz)</t>
  </si>
  <si>
    <t>Stress Ratio</t>
  </si>
  <si>
    <t>Stress Parameters (ksi)</t>
  </si>
  <si>
    <t>Alt</t>
  </si>
  <si>
    <t>Min</t>
  </si>
  <si>
    <t>Stress Parameters (MPa)</t>
  </si>
  <si>
    <t>Total Cycles</t>
  </si>
  <si>
    <t>Fracture</t>
  </si>
  <si>
    <t>Location</t>
  </si>
  <si>
    <t>Hours</t>
  </si>
  <si>
    <t>Machine</t>
  </si>
  <si>
    <t>Checked Raw Data</t>
  </si>
  <si>
    <t>Cost</t>
  </si>
  <si>
    <t>Invoice Date</t>
  </si>
  <si>
    <t>Checked Fracture Face</t>
  </si>
  <si>
    <t>Returned to Customer</t>
  </si>
  <si>
    <t>Cyclic Fatigue Data</t>
  </si>
  <si>
    <t>Gage Diameter</t>
  </si>
  <si>
    <t>(in)</t>
  </si>
  <si>
    <t>(mm)</t>
  </si>
  <si>
    <t>First Day Rate:</t>
  </si>
  <si>
    <t>Hourly Rate &gt; 24 Hrs:</t>
  </si>
  <si>
    <t>Total Cost:</t>
  </si>
  <si>
    <t>PO Total For Testing:</t>
  </si>
  <si>
    <t>Amount Remaining:</t>
  </si>
  <si>
    <t>Yes</t>
  </si>
  <si>
    <t>Threads only.</t>
  </si>
  <si>
    <t>P3</t>
  </si>
  <si>
    <t>P5</t>
  </si>
  <si>
    <t>P7</t>
  </si>
  <si>
    <t>P9</t>
  </si>
  <si>
    <t>P10</t>
  </si>
  <si>
    <t>P12</t>
  </si>
  <si>
    <t>P14</t>
  </si>
  <si>
    <t>P16</t>
  </si>
  <si>
    <t>P19</t>
  </si>
  <si>
    <t>P21</t>
  </si>
  <si>
    <t>P23</t>
  </si>
  <si>
    <t>P25</t>
  </si>
  <si>
    <t>P26</t>
  </si>
  <si>
    <t>P28</t>
  </si>
  <si>
    <t>P30</t>
  </si>
  <si>
    <t>P32</t>
  </si>
  <si>
    <t>P36</t>
  </si>
  <si>
    <t>P38</t>
  </si>
  <si>
    <t>P40</t>
  </si>
  <si>
    <t>P42</t>
  </si>
  <si>
    <t>P45</t>
  </si>
  <si>
    <t>P47</t>
  </si>
  <si>
    <t>P52</t>
  </si>
  <si>
    <t>P54</t>
  </si>
  <si>
    <t>P56</t>
  </si>
  <si>
    <t>P58</t>
  </si>
  <si>
    <t>P59</t>
  </si>
  <si>
    <t>P61</t>
  </si>
  <si>
    <t>P63</t>
  </si>
  <si>
    <t>P65</t>
  </si>
  <si>
    <t>See the "Fatigue Coupon Details" ppt in the shop folder. We need to ensure that the engraved IDs on the top and bottom surfaces are maintained and not machined out. If that is not possible, please ensure that all identifying markers are laser engraved.</t>
  </si>
  <si>
    <t>P2</t>
  </si>
  <si>
    <t>P4</t>
  </si>
  <si>
    <t>P6</t>
  </si>
  <si>
    <t>P8</t>
  </si>
  <si>
    <t>P11</t>
  </si>
  <si>
    <t>P13</t>
  </si>
  <si>
    <t>P15</t>
  </si>
  <si>
    <t>P17</t>
  </si>
  <si>
    <t>P20</t>
  </si>
  <si>
    <t>P22</t>
  </si>
  <si>
    <t>P27</t>
  </si>
  <si>
    <t>P29</t>
  </si>
  <si>
    <t>P31</t>
  </si>
  <si>
    <t>P33</t>
  </si>
  <si>
    <t>P35</t>
  </si>
  <si>
    <t>P37</t>
  </si>
  <si>
    <t>P39</t>
  </si>
  <si>
    <t>P41</t>
  </si>
  <si>
    <t>P44</t>
  </si>
  <si>
    <t>P46</t>
  </si>
  <si>
    <t>P48</t>
  </si>
  <si>
    <t>P50</t>
  </si>
  <si>
    <t>P51</t>
  </si>
  <si>
    <t>P53</t>
  </si>
  <si>
    <t>P55</t>
  </si>
  <si>
    <t>P57</t>
  </si>
  <si>
    <t>P60</t>
  </si>
  <si>
    <t>P62</t>
  </si>
  <si>
    <t>P64</t>
  </si>
  <si>
    <t>P66</t>
  </si>
  <si>
    <t>Task No:</t>
  </si>
  <si>
    <t>38994 and 38995</t>
  </si>
  <si>
    <t>21-210-01-01 - S1</t>
  </si>
  <si>
    <t>21-210-01-01 - S2</t>
  </si>
  <si>
    <t>2-210</t>
  </si>
  <si>
    <t>Gage, Surface</t>
  </si>
  <si>
    <t>3-210</t>
  </si>
  <si>
    <t>5-210</t>
  </si>
  <si>
    <t>7-210</t>
  </si>
  <si>
    <t>8-210</t>
  </si>
  <si>
    <t>9-210</t>
  </si>
  <si>
    <t>10-210</t>
  </si>
  <si>
    <t>11-210</t>
  </si>
  <si>
    <t>17-210</t>
  </si>
  <si>
    <t>18-210</t>
  </si>
  <si>
    <t>19-210</t>
  </si>
  <si>
    <t>20-210</t>
  </si>
  <si>
    <t>21-210</t>
  </si>
  <si>
    <t>At Radius, Surface</t>
  </si>
  <si>
    <t>27-210</t>
  </si>
  <si>
    <t>28-210</t>
  </si>
  <si>
    <t>29-210</t>
  </si>
  <si>
    <t>30-210</t>
  </si>
  <si>
    <t>31-210</t>
  </si>
  <si>
    <t>32-210</t>
  </si>
  <si>
    <t>33-210</t>
  </si>
  <si>
    <t>34-210</t>
  </si>
  <si>
    <t>Gage,Surface</t>
  </si>
  <si>
    <t>35-210</t>
  </si>
  <si>
    <t>36-210</t>
  </si>
  <si>
    <t>43-210</t>
  </si>
  <si>
    <t>44-210</t>
  </si>
  <si>
    <t>45-210</t>
  </si>
  <si>
    <t>46-210</t>
  </si>
  <si>
    <t>47-210</t>
  </si>
  <si>
    <t>48-210</t>
  </si>
  <si>
    <t>49-210</t>
  </si>
  <si>
    <t>Removal</t>
  </si>
  <si>
    <t>3. Specimen P27 experienced a stress spike at cycle 908 to 461 MPa max / 54 MPa min.</t>
  </si>
  <si>
    <t>7. Specimen P53 experienced a stress spike at the start of the test at cycle 2,928 to 458 MPa max / 39 MPa min.</t>
  </si>
  <si>
    <t>4048-111379-1</t>
  </si>
  <si>
    <t>Table II</t>
  </si>
  <si>
    <t>4. Specimen P33 experienced multiple stress spikes throughout the life of the test, the largest of which was at cycle 3,652 to 479 MPa max / 54 MPa min.</t>
  </si>
  <si>
    <t>5. Specimen P29 experienced multiple stress spikes throughout the life of the test, the largest of which was at cycle 74,004 to 478 MPa max / 54 MPa min.</t>
  </si>
  <si>
    <t>6. Specimen P50 experienced multiple stress spikes throughout the life of the test, the largest of which was close to the start of the test at cycle 2,009 to 476 MPa max / 54 MPa min.</t>
  </si>
  <si>
    <t>8. Specimen P66 experienced multiple stress spikes throughout the life of the test, the largest deviation was at cycle 34,744 to 418 Mpa max / 46 MPa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</si>
</sst>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quot;$&quot;#,##0.00"/>
    <numFmt numFmtId="165" formatCode="[$-409]mmmm\ d\,\ yyyy;@"/>
    <numFmt numFmtId="166" formatCode="0.0000"/>
    <numFmt numFmtId="167" formatCode="0.0"/>
  </numFmts>
  <fonts count="35" x14ac:knownFonts="1">
    <font>
      <sz val="10"/>
      <name val="Arial"/>
    </font>
    <font>
      <sz val="11"/>
      <color theme="1"/>
      <name val="Calibri"/>
      <family val="2"/>
      <scheme val="minor"/>
    </font>
    <font>
      <sz val="10"/>
      <name val="Arial"/>
      <family val="2"/>
    </font>
    <font>
      <sz val="10"/>
      <name val="MS Sans Serif"/>
    </font>
    <font>
      <sz val="10"/>
      <name val="MS Sans Serif"/>
      <family val="2"/>
    </font>
    <font>
      <b/>
      <sz val="14"/>
      <color rgb="FF000000"/>
      <name val="Arial"/>
      <family val="2"/>
    </font>
    <font>
      <b/>
      <sz val="48"/>
      <color rgb="FF005B82"/>
      <name val="Arial"/>
      <family val="2"/>
    </font>
    <font>
      <b/>
      <sz val="14"/>
      <color rgb="FFFF0000"/>
      <name val="Arial"/>
      <family val="2"/>
    </font>
    <font>
      <sz val="14"/>
      <name val="Arial"/>
      <family val="2"/>
    </font>
    <font>
      <b/>
      <sz val="14"/>
      <name val="Arial"/>
      <family val="2"/>
    </font>
    <font>
      <sz val="10"/>
      <name val="Arial"/>
      <family val="2"/>
    </font>
    <font>
      <b/>
      <sz val="16"/>
      <name val="Arial"/>
      <family val="2"/>
    </font>
    <font>
      <b/>
      <sz val="10"/>
      <name val="Arial"/>
      <family val="2"/>
    </font>
    <font>
      <b/>
      <sz val="22"/>
      <name val="Arial"/>
      <family val="2"/>
    </font>
    <font>
      <sz val="10"/>
      <color theme="0"/>
      <name val="Arial"/>
      <family val="2"/>
    </font>
    <font>
      <sz val="8"/>
      <name val="Arial"/>
      <family val="2"/>
    </font>
    <font>
      <sz val="12"/>
      <name val="Arial"/>
      <family val="2"/>
    </font>
    <font>
      <b/>
      <sz val="12"/>
      <name val="Arial"/>
      <family val="2"/>
    </font>
    <font>
      <b/>
      <sz val="12"/>
      <color rgb="FFFF0000"/>
      <name val="Arial"/>
      <family val="2"/>
    </font>
    <font>
      <b/>
      <sz val="30"/>
      <name val="Arial"/>
      <family val="2"/>
    </font>
    <font>
      <b/>
      <sz val="18"/>
      <name val="Arial"/>
      <family val="2"/>
    </font>
    <font>
      <b/>
      <u/>
      <sz val="14"/>
      <name val="Arial"/>
      <family val="2"/>
    </font>
    <font>
      <b/>
      <u/>
      <sz val="12"/>
      <name val="Arial"/>
      <family val="2"/>
    </font>
    <font>
      <b/>
      <sz val="12"/>
      <color theme="0" tint="-0.14996795556505021"/>
      <name val="Arial"/>
      <family val="2"/>
    </font>
    <font>
      <b/>
      <sz val="24"/>
      <name val="Arial"/>
      <family val="2"/>
    </font>
    <font>
      <sz val="24"/>
      <name val="Arial"/>
      <family val="2"/>
    </font>
    <font>
      <sz val="10"/>
      <color rgb="FF002060"/>
      <name val="Arial"/>
      <family val="2"/>
    </font>
    <font>
      <b/>
      <sz val="11"/>
      <name val="Calibri"/>
      <family val="2"/>
    </font>
    <font>
      <sz val="11"/>
      <name val="Calibri"/>
      <family val="2"/>
    </font>
    <font>
      <b/>
      <sz val="11"/>
      <color rgb="FF002060"/>
      <name val="Calibri"/>
      <family val="2"/>
    </font>
    <font>
      <sz val="11"/>
      <color rgb="FF002060"/>
      <name val="Calibri"/>
      <family val="2"/>
    </font>
    <font>
      <b/>
      <sz val="10"/>
      <color rgb="FF000000"/>
      <name val="Arial"/>
      <family val="2"/>
    </font>
    <font>
      <sz val="11"/>
      <color rgb="FF006100"/>
      <name val="Calibri"/>
      <family val="2"/>
      <scheme val="minor"/>
    </font>
    <font>
      <sz val="11"/>
      <color rgb="FF9C5700"/>
      <name val="Calibri"/>
      <family val="2"/>
      <scheme val="minor"/>
    </font>
    <font>
      <sz val="1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8" tint="0.79995117038483843"/>
        <bgColor indexed="64"/>
      </patternFill>
    </fill>
    <fill>
      <patternFill patternType="solid">
        <fgColor indexed="13"/>
        <bgColor indexed="64"/>
      </patternFill>
    </fill>
    <fill>
      <patternFill patternType="solid">
        <fgColor rgb="FFB9C9D0"/>
        <bgColor indexed="64"/>
      </patternFill>
    </fill>
    <fill>
      <patternFill patternType="solid">
        <fgColor rgb="FFC6EFCE"/>
      </patternFill>
    </fill>
    <fill>
      <patternFill patternType="solid">
        <fgColor rgb="FFFFEB9C"/>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dashed">
        <color indexed="64"/>
      </left>
      <right style="dashed">
        <color indexed="64"/>
      </right>
      <top style="dashed">
        <color indexed="64"/>
      </top>
      <bottom style="dashed">
        <color indexed="64"/>
      </bottom>
      <diagonal/>
    </border>
    <border>
      <left style="double">
        <color indexed="64"/>
      </left>
      <right/>
      <top/>
      <bottom/>
      <diagonal/>
    </border>
    <border>
      <left style="double">
        <color indexed="64"/>
      </left>
      <right style="thin">
        <color indexed="64"/>
      </right>
      <top style="thin">
        <color indexed="64"/>
      </top>
      <bottom style="thin">
        <color indexed="64"/>
      </bottom>
      <diagonal/>
    </border>
    <border>
      <left style="double">
        <color indexed="64"/>
      </left>
      <right/>
      <top style="double">
        <color indexed="64"/>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double">
        <color indexed="64"/>
      </right>
      <top style="double">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right/>
      <top/>
      <bottom style="double">
        <color indexed="64"/>
      </bottom>
      <diagonal/>
    </border>
    <border>
      <left/>
      <right/>
      <top style="double">
        <color indexed="64"/>
      </top>
      <bottom/>
      <diagonal/>
    </border>
    <border>
      <left style="double">
        <color indexed="64"/>
      </left>
      <right/>
      <top/>
      <bottom style="double">
        <color indexed="64"/>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double">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s>
  <cellStyleXfs count="9">
    <xf numFmtId="0" fontId="0" fillId="0" borderId="0"/>
    <xf numFmtId="44" fontId="2" fillId="0" borderId="0" applyFont="0" applyFill="0" applyBorder="0" applyAlignment="0" applyProtection="0"/>
    <xf numFmtId="0" fontId="2" fillId="0" borderId="0"/>
    <xf numFmtId="0" fontId="1" fillId="0" borderId="0"/>
    <xf numFmtId="0" fontId="3" fillId="0" borderId="0"/>
    <xf numFmtId="0" fontId="4" fillId="0" borderId="0"/>
    <xf numFmtId="44" fontId="10" fillId="0" borderId="0" applyFont="0" applyFill="0" applyBorder="0" applyAlignment="0" applyProtection="0"/>
    <xf numFmtId="0" fontId="32" fillId="6" borderId="0" applyNumberFormat="0" applyBorder="0" applyAlignment="0" applyProtection="0"/>
    <xf numFmtId="0" fontId="33" fillId="7" borderId="0" applyNumberFormat="0" applyBorder="0" applyAlignment="0" applyProtection="0"/>
  </cellStyleXfs>
  <cellXfs count="178">
    <xf numFmtId="0" fontId="0" fillId="0" borderId="0" xfId="0"/>
    <xf numFmtId="0" fontId="0" fillId="2" borderId="0" xfId="0" applyFill="1"/>
    <xf numFmtId="1" fontId="2" fillId="3" borderId="1" xfId="0" applyNumberFormat="1" applyFont="1" applyFill="1" applyBorder="1" applyAlignment="1">
      <alignment horizontal="center" vertical="center"/>
    </xf>
    <xf numFmtId="0" fontId="2" fillId="2" borderId="0" xfId="0" applyFont="1" applyFill="1"/>
    <xf numFmtId="0" fontId="9" fillId="2" borderId="0" xfId="0" applyFont="1" applyFill="1" applyAlignment="1">
      <alignment horizontal="center"/>
    </xf>
    <xf numFmtId="0" fontId="9" fillId="2" borderId="0" xfId="0" applyFont="1" applyFill="1"/>
    <xf numFmtId="0" fontId="9" fillId="2" borderId="0" xfId="0" applyFont="1" applyFill="1" applyAlignment="1">
      <alignment horizontal="center" vertical="center"/>
    </xf>
    <xf numFmtId="0" fontId="8" fillId="0" borderId="0" xfId="0" applyFont="1" applyAlignment="1">
      <alignment horizontal="right" vertical="top"/>
    </xf>
    <xf numFmtId="0" fontId="6" fillId="2" borderId="0" xfId="0" applyFont="1" applyFill="1" applyAlignment="1">
      <alignment vertical="center"/>
    </xf>
    <xf numFmtId="0" fontId="2" fillId="0" borderId="0" xfId="0" applyFont="1" applyAlignment="1">
      <alignment horizontal="center"/>
    </xf>
    <xf numFmtId="0" fontId="8" fillId="0" borderId="0" xfId="0" applyFont="1" applyAlignment="1">
      <alignment horizontal="right" vertical="center"/>
    </xf>
    <xf numFmtId="0" fontId="0" fillId="0" borderId="0" xfId="0" applyAlignment="1">
      <alignment vertical="center"/>
    </xf>
    <xf numFmtId="0" fontId="8" fillId="0" borderId="0" xfId="0" applyFont="1" applyAlignment="1">
      <alignment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164" fontId="2" fillId="3" borderId="1" xfId="0" applyNumberFormat="1" applyFont="1" applyFill="1" applyBorder="1" applyAlignment="1">
      <alignment horizontal="center" vertical="center"/>
    </xf>
    <xf numFmtId="2" fontId="2" fillId="3" borderId="1" xfId="0" applyNumberFormat="1" applyFont="1" applyFill="1" applyBorder="1" applyAlignment="1">
      <alignment horizontal="center" vertical="center"/>
    </xf>
    <xf numFmtId="14" fontId="2" fillId="3" borderId="1" xfId="0" applyNumberFormat="1" applyFont="1" applyFill="1" applyBorder="1" applyAlignment="1">
      <alignment horizontal="center" vertical="center"/>
    </xf>
    <xf numFmtId="0" fontId="12" fillId="0" borderId="0" xfId="0" applyFont="1"/>
    <xf numFmtId="0" fontId="0" fillId="0" borderId="0" xfId="0" applyAlignment="1">
      <alignment horizontal="left"/>
    </xf>
    <xf numFmtId="0" fontId="0" fillId="4" borderId="0" xfId="0" applyFill="1" applyAlignment="1">
      <alignment horizontal="left"/>
    </xf>
    <xf numFmtId="0" fontId="0" fillId="0" borderId="9" xfId="0" applyBorder="1"/>
    <xf numFmtId="0" fontId="12" fillId="0" borderId="0" xfId="0" applyFont="1" applyAlignment="1">
      <alignment horizontal="right"/>
    </xf>
    <xf numFmtId="49" fontId="0" fillId="0" borderId="0" xfId="0" applyNumberFormat="1" applyAlignment="1">
      <alignment horizontal="left"/>
    </xf>
    <xf numFmtId="0" fontId="2" fillId="0" borderId="0" xfId="0" applyFont="1"/>
    <xf numFmtId="0" fontId="2" fillId="0" borderId="0" xfId="0" applyFont="1" applyAlignment="1">
      <alignment horizontal="left" vertical="center"/>
    </xf>
    <xf numFmtId="0" fontId="2" fillId="0" borderId="0" xfId="0" applyFont="1" applyAlignment="1">
      <alignment vertical="center"/>
    </xf>
    <xf numFmtId="0" fontId="12" fillId="0" borderId="0" xfId="0" applyFont="1" applyAlignment="1">
      <alignment horizontal="left" vertical="center"/>
    </xf>
    <xf numFmtId="0" fontId="12" fillId="0" borderId="0" xfId="0" applyFont="1" applyAlignment="1">
      <alignment vertical="center"/>
    </xf>
    <xf numFmtId="0" fontId="12" fillId="0" borderId="0" xfId="0" applyFont="1" applyAlignment="1">
      <alignment horizontal="right" vertical="center"/>
    </xf>
    <xf numFmtId="14" fontId="0" fillId="0" borderId="0" xfId="0" applyNumberFormat="1" applyAlignment="1">
      <alignment horizontal="left"/>
    </xf>
    <xf numFmtId="0" fontId="12" fillId="5" borderId="1" xfId="0" applyFont="1" applyFill="1" applyBorder="1" applyAlignment="1">
      <alignment horizontal="center" vertical="distributed" wrapText="1"/>
    </xf>
    <xf numFmtId="0" fontId="12" fillId="0" borderId="1" xfId="0" applyFont="1" applyBorder="1" applyAlignment="1">
      <alignment horizontal="center" vertical="distributed" wrapText="1"/>
    </xf>
    <xf numFmtId="0" fontId="0" fillId="0" borderId="9" xfId="0" applyBorder="1" applyAlignment="1">
      <alignment horizontal="left"/>
    </xf>
    <xf numFmtId="0" fontId="0" fillId="0" borderId="0" xfId="0" applyAlignment="1">
      <alignment wrapText="1"/>
    </xf>
    <xf numFmtId="0" fontId="12" fillId="5" borderId="14" xfId="0" applyFont="1" applyFill="1" applyBorder="1" applyAlignment="1">
      <alignment horizontal="center"/>
    </xf>
    <xf numFmtId="0" fontId="0" fillId="0" borderId="13" xfId="0" applyBorder="1"/>
    <xf numFmtId="0" fontId="14" fillId="0" borderId="0" xfId="0" applyFont="1" applyAlignment="1">
      <alignment vertical="center"/>
    </xf>
    <xf numFmtId="0" fontId="0" fillId="0" borderId="9" xfId="0" applyBorder="1" applyAlignment="1">
      <alignment horizontal="left" vertical="center"/>
    </xf>
    <xf numFmtId="165" fontId="0" fillId="0" borderId="9" xfId="0" applyNumberFormat="1" applyBorder="1" applyAlignment="1">
      <alignment horizontal="left" vertical="center"/>
    </xf>
    <xf numFmtId="1" fontId="0" fillId="0" borderId="9" xfId="0" applyNumberFormat="1" applyBorder="1" applyAlignment="1">
      <alignment horizontal="left" vertical="center"/>
    </xf>
    <xf numFmtId="0" fontId="12" fillId="5" borderId="18" xfId="0" applyFont="1" applyFill="1" applyBorder="1" applyAlignment="1">
      <alignment horizontal="center" vertical="center"/>
    </xf>
    <xf numFmtId="0" fontId="12" fillId="5" borderId="19" xfId="0" applyFont="1" applyFill="1" applyBorder="1" applyAlignment="1">
      <alignment horizontal="center" vertical="center"/>
    </xf>
    <xf numFmtId="0" fontId="0" fillId="0" borderId="1" xfId="0" applyBorder="1" applyAlignment="1">
      <alignment horizontal="center" vertical="center"/>
    </xf>
    <xf numFmtId="0" fontId="0" fillId="0" borderId="16" xfId="0" applyBorder="1" applyAlignment="1">
      <alignment horizontal="center" vertical="center" wrapText="1"/>
    </xf>
    <xf numFmtId="0" fontId="0" fillId="0" borderId="21" xfId="0" applyBorder="1" applyAlignment="1">
      <alignment horizontal="center" vertical="center"/>
    </xf>
    <xf numFmtId="0" fontId="0" fillId="0" borderId="20" xfId="0" applyBorder="1" applyAlignment="1">
      <alignment horizontal="center" vertical="center" wrapText="1"/>
    </xf>
    <xf numFmtId="0" fontId="0" fillId="0" borderId="28" xfId="0" applyBorder="1" applyAlignment="1">
      <alignment horizontal="left"/>
    </xf>
    <xf numFmtId="0" fontId="20" fillId="0" borderId="34" xfId="0" applyFont="1" applyBorder="1" applyAlignment="1">
      <alignment horizontal="right" vertical="center" textRotation="180" wrapText="1"/>
    </xf>
    <xf numFmtId="0" fontId="9" fillId="0" borderId="35" xfId="0" applyFont="1" applyBorder="1" applyAlignment="1">
      <alignment horizontal="right" vertical="center" textRotation="180" wrapText="1"/>
    </xf>
    <xf numFmtId="0" fontId="12" fillId="0" borderId="35" xfId="0" applyFont="1" applyBorder="1" applyAlignment="1">
      <alignment horizontal="right" vertical="center" textRotation="180" wrapText="1"/>
    </xf>
    <xf numFmtId="0" fontId="9" fillId="0" borderId="36" xfId="0" applyFont="1" applyBorder="1" applyAlignment="1">
      <alignment horizontal="right" vertical="center" textRotation="180" wrapText="1"/>
    </xf>
    <xf numFmtId="0" fontId="0" fillId="0" borderId="0" xfId="0" applyAlignment="1">
      <alignment horizontal="center" vertical="center"/>
    </xf>
    <xf numFmtId="0" fontId="0" fillId="0" borderId="0" xfId="0" applyAlignment="1">
      <alignment horizontal="center" vertical="center" wrapText="1"/>
    </xf>
    <xf numFmtId="0" fontId="16" fillId="0" borderId="0" xfId="0" applyFont="1"/>
    <xf numFmtId="0" fontId="16" fillId="0" borderId="5" xfId="0" applyFont="1" applyBorder="1"/>
    <xf numFmtId="0" fontId="16" fillId="0" borderId="0" xfId="0" applyFont="1" applyAlignment="1">
      <alignment horizontal="center" vertical="center" wrapText="1"/>
    </xf>
    <xf numFmtId="0" fontId="0" fillId="0" borderId="6" xfId="0" applyBorder="1"/>
    <xf numFmtId="0" fontId="0" fillId="0" borderId="10" xfId="0" applyBorder="1"/>
    <xf numFmtId="0" fontId="16" fillId="0" borderId="8" xfId="0" applyFont="1" applyBorder="1"/>
    <xf numFmtId="0" fontId="16" fillId="0" borderId="9" xfId="0" applyFont="1" applyBorder="1"/>
    <xf numFmtId="0" fontId="16" fillId="0" borderId="4" xfId="0" applyFont="1" applyBorder="1"/>
    <xf numFmtId="0" fontId="16" fillId="0" borderId="11" xfId="0" applyFont="1" applyBorder="1"/>
    <xf numFmtId="0" fontId="12" fillId="0" borderId="5" xfId="0" applyFont="1" applyBorder="1"/>
    <xf numFmtId="0" fontId="12" fillId="0" borderId="6" xfId="0" applyFont="1" applyBorder="1"/>
    <xf numFmtId="0" fontId="12" fillId="0" borderId="10" xfId="0" applyFont="1" applyBorder="1"/>
    <xf numFmtId="0" fontId="12" fillId="0" borderId="8" xfId="0" applyFont="1" applyBorder="1"/>
    <xf numFmtId="0" fontId="12" fillId="0" borderId="9" xfId="0" applyFont="1" applyBorder="1"/>
    <xf numFmtId="0" fontId="12" fillId="0" borderId="13" xfId="0" applyFont="1" applyBorder="1"/>
    <xf numFmtId="0" fontId="12" fillId="0" borderId="4" xfId="0" applyFont="1" applyBorder="1"/>
    <xf numFmtId="0" fontId="12" fillId="0" borderId="11" xfId="0" applyFont="1" applyBorder="1"/>
    <xf numFmtId="166" fontId="0" fillId="0" borderId="1" xfId="0" applyNumberFormat="1" applyBorder="1" applyAlignment="1">
      <alignment horizontal="center" vertical="center"/>
    </xf>
    <xf numFmtId="2" fontId="0" fillId="0" borderId="1" xfId="0" applyNumberFormat="1" applyBorder="1" applyAlignment="1">
      <alignment horizontal="center" vertical="center"/>
    </xf>
    <xf numFmtId="1" fontId="0" fillId="0" borderId="1" xfId="0" applyNumberFormat="1" applyBorder="1" applyAlignment="1">
      <alignment horizontal="center" vertical="center"/>
    </xf>
    <xf numFmtId="167" fontId="0" fillId="0" borderId="1" xfId="0" applyNumberFormat="1" applyBorder="1" applyAlignment="1">
      <alignment horizontal="center" vertical="center"/>
    </xf>
    <xf numFmtId="3" fontId="0" fillId="0" borderId="1" xfId="0" applyNumberFormat="1" applyBorder="1" applyAlignment="1">
      <alignment horizontal="center" vertical="center"/>
    </xf>
    <xf numFmtId="164" fontId="0" fillId="0" borderId="0" xfId="0" applyNumberFormat="1" applyAlignment="1">
      <alignment horizontal="center" vertical="center"/>
    </xf>
    <xf numFmtId="164" fontId="0" fillId="0" borderId="0" xfId="0" applyNumberFormat="1"/>
    <xf numFmtId="0" fontId="0" fillId="0" borderId="0" xfId="0" applyAlignment="1">
      <alignment horizontal="right" vertical="center"/>
    </xf>
    <xf numFmtId="0" fontId="0" fillId="0" borderId="0" xfId="0" applyAlignment="1">
      <alignment horizontal="left" vertical="center"/>
    </xf>
    <xf numFmtId="0" fontId="0" fillId="0" borderId="0" xfId="0" applyAlignment="1">
      <alignment horizontal="center" wrapText="1"/>
    </xf>
    <xf numFmtId="164" fontId="0" fillId="0" borderId="0" xfId="0" applyNumberFormat="1" applyAlignment="1">
      <alignment horizontal="center" wrapText="1"/>
    </xf>
    <xf numFmtId="164" fontId="0" fillId="0" borderId="0" xfId="0" applyNumberFormat="1" applyAlignment="1">
      <alignment horizontal="center" vertical="center" wrapText="1"/>
    </xf>
    <xf numFmtId="0" fontId="0" fillId="0" borderId="2" xfId="0" applyBorder="1" applyAlignment="1">
      <alignment horizontal="center" wrapText="1"/>
    </xf>
    <xf numFmtId="0" fontId="0" fillId="0" borderId="3" xfId="0" applyBorder="1" applyAlignment="1">
      <alignment horizontal="center" vertical="center" wrapText="1"/>
    </xf>
    <xf numFmtId="0" fontId="26" fillId="0" borderId="0" xfId="0" applyFont="1"/>
    <xf numFmtId="44" fontId="0" fillId="0" borderId="0" xfId="6" applyFont="1"/>
    <xf numFmtId="44" fontId="26" fillId="0" borderId="0" xfId="6" applyFont="1"/>
    <xf numFmtId="0" fontId="27" fillId="0" borderId="37" xfId="0" applyFont="1" applyBorder="1" applyAlignment="1">
      <alignment horizontal="right" vertical="center"/>
    </xf>
    <xf numFmtId="44" fontId="28" fillId="0" borderId="39" xfId="6" applyFont="1" applyBorder="1"/>
    <xf numFmtId="0" fontId="27" fillId="0" borderId="38" xfId="0" applyFont="1" applyBorder="1" applyAlignment="1">
      <alignment horizontal="right" vertical="center"/>
    </xf>
    <xf numFmtId="44" fontId="28" fillId="0" borderId="40" xfId="6" applyFont="1" applyBorder="1"/>
    <xf numFmtId="0" fontId="28" fillId="0" borderId="0" xfId="0" applyFont="1" applyAlignment="1">
      <alignment horizontal="right" vertical="center"/>
    </xf>
    <xf numFmtId="44" fontId="28" fillId="0" borderId="0" xfId="6" applyFont="1" applyAlignment="1">
      <alignment horizontal="left" vertical="center"/>
    </xf>
    <xf numFmtId="0" fontId="30" fillId="0" borderId="1" xfId="0" applyFont="1" applyBorder="1" applyAlignment="1">
      <alignment horizontal="right" vertical="center"/>
    </xf>
    <xf numFmtId="44" fontId="30" fillId="0" borderId="1" xfId="6" applyFont="1" applyBorder="1" applyAlignment="1">
      <alignment horizontal="left" vertical="center"/>
    </xf>
    <xf numFmtId="0" fontId="27" fillId="0" borderId="0" xfId="0" applyFont="1" applyAlignment="1">
      <alignment horizontal="right" vertical="center"/>
    </xf>
    <xf numFmtId="44" fontId="27" fillId="0" borderId="0" xfId="6" applyFont="1" applyAlignment="1">
      <alignment horizontal="left" vertical="center"/>
    </xf>
    <xf numFmtId="0" fontId="0" fillId="0" borderId="41" xfId="0" applyBorder="1" applyAlignment="1">
      <alignment horizontal="center" vertical="center" wrapText="1"/>
    </xf>
    <xf numFmtId="0" fontId="0" fillId="0" borderId="42" xfId="0" applyBorder="1" applyAlignment="1">
      <alignment horizontal="center" vertical="center"/>
    </xf>
    <xf numFmtId="0" fontId="2" fillId="0" borderId="1" xfId="0" applyFont="1" applyBorder="1" applyAlignment="1">
      <alignment horizontal="center" vertical="center"/>
    </xf>
    <xf numFmtId="0" fontId="2" fillId="2" borderId="1" xfId="0" applyFont="1" applyFill="1" applyBorder="1" applyAlignment="1">
      <alignment horizontal="center" vertical="center"/>
    </xf>
    <xf numFmtId="0" fontId="0" fillId="2" borderId="1" xfId="0" applyFill="1" applyBorder="1" applyAlignment="1">
      <alignment horizontal="center" vertical="center"/>
    </xf>
    <xf numFmtId="166" fontId="0" fillId="2" borderId="1" xfId="0" applyNumberFormat="1" applyFill="1" applyBorder="1" applyAlignment="1">
      <alignment horizontal="center" vertical="center"/>
    </xf>
    <xf numFmtId="2" fontId="0" fillId="2" borderId="1" xfId="0" applyNumberFormat="1" applyFill="1" applyBorder="1" applyAlignment="1">
      <alignment horizontal="center" vertical="center"/>
    </xf>
    <xf numFmtId="1" fontId="0" fillId="2" borderId="1" xfId="0" applyNumberFormat="1" applyFill="1" applyBorder="1" applyAlignment="1">
      <alignment horizontal="center" vertical="center"/>
    </xf>
    <xf numFmtId="167" fontId="0" fillId="2" borderId="1" xfId="0" applyNumberFormat="1" applyFill="1" applyBorder="1" applyAlignment="1">
      <alignment horizontal="center" vertical="center"/>
    </xf>
    <xf numFmtId="3" fontId="0" fillId="2" borderId="1" xfId="0" applyNumberFormat="1" applyFill="1" applyBorder="1" applyAlignment="1">
      <alignment horizontal="center" vertical="center"/>
    </xf>
    <xf numFmtId="3" fontId="2" fillId="2" borderId="1" xfId="0" applyNumberFormat="1" applyFont="1" applyFill="1" applyBorder="1" applyAlignment="1">
      <alignment horizontal="center" vertical="center"/>
    </xf>
    <xf numFmtId="16" fontId="0" fillId="0" borderId="0" xfId="0" applyNumberFormat="1" applyAlignment="1">
      <alignment horizontal="center" vertical="center"/>
    </xf>
    <xf numFmtId="166" fontId="2" fillId="2" borderId="1" xfId="0" applyNumberFormat="1" applyFont="1" applyFill="1" applyBorder="1" applyAlignment="1">
      <alignment horizontal="center" vertical="center"/>
    </xf>
    <xf numFmtId="0" fontId="2" fillId="0" borderId="3" xfId="0" applyFont="1" applyBorder="1" applyAlignment="1">
      <alignment horizontal="center" vertical="center" wrapText="1"/>
    </xf>
    <xf numFmtId="167" fontId="2" fillId="2" borderId="1" xfId="0" applyNumberFormat="1" applyFont="1" applyFill="1" applyBorder="1" applyAlignment="1">
      <alignment horizontal="center" vertical="center"/>
    </xf>
    <xf numFmtId="167" fontId="2" fillId="0" borderId="1" xfId="0" applyNumberFormat="1" applyFont="1" applyBorder="1" applyAlignment="1">
      <alignment horizontal="center" vertical="center"/>
    </xf>
    <xf numFmtId="0" fontId="33" fillId="7" borderId="1" xfId="8" applyBorder="1" applyAlignment="1">
      <alignment horizontal="center" vertical="center"/>
    </xf>
    <xf numFmtId="0" fontId="6" fillId="2" borderId="0" xfId="0" applyFont="1" applyFill="1" applyAlignment="1">
      <alignment horizontal="center" vertical="center"/>
    </xf>
    <xf numFmtId="0" fontId="8" fillId="0" borderId="0" xfId="0" applyFont="1" applyAlignment="1">
      <alignment horizontal="right" vertical="center"/>
    </xf>
    <xf numFmtId="0" fontId="8" fillId="0" borderId="4" xfId="0" applyFont="1" applyBorder="1" applyAlignment="1">
      <alignment horizontal="right" vertical="center"/>
    </xf>
    <xf numFmtId="1" fontId="2" fillId="3" borderId="2" xfId="0" applyNumberFormat="1" applyFont="1" applyFill="1" applyBorder="1" applyAlignment="1">
      <alignment horizontal="center" vertical="center"/>
    </xf>
    <xf numFmtId="1" fontId="2" fillId="3" borderId="3"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11" fillId="0" borderId="0" xfId="0" applyFont="1" applyAlignment="1">
      <alignment horizontal="center" vertical="center"/>
    </xf>
    <xf numFmtId="0" fontId="13" fillId="0" borderId="0" xfId="0" applyFont="1" applyAlignment="1">
      <alignment horizontal="center" vertical="center"/>
    </xf>
    <xf numFmtId="165" fontId="0" fillId="0" borderId="0" xfId="0" applyNumberFormat="1" applyAlignment="1">
      <alignment horizontal="left"/>
    </xf>
    <xf numFmtId="0" fontId="12" fillId="5" borderId="19" xfId="0" applyFont="1" applyFill="1" applyBorder="1" applyAlignment="1">
      <alignment horizontal="center" vertical="center"/>
    </xf>
    <xf numFmtId="0" fontId="0" fillId="0" borderId="19" xfId="0" applyBorder="1" applyAlignment="1">
      <alignment vertical="center"/>
    </xf>
    <xf numFmtId="0" fontId="0" fillId="0" borderId="23" xfId="0" applyBorder="1" applyAlignment="1">
      <alignment vertical="center"/>
    </xf>
    <xf numFmtId="0" fontId="0" fillId="0" borderId="7" xfId="0" applyBorder="1" applyAlignment="1">
      <alignment horizontal="lef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0" fillId="0" borderId="22" xfId="0" applyBorder="1" applyAlignment="1">
      <alignment horizontal="left" vertical="center" wrapText="1"/>
    </xf>
    <xf numFmtId="0" fontId="0" fillId="0" borderId="26" xfId="0" applyBorder="1" applyAlignment="1">
      <alignment horizontal="left" vertical="center" wrapText="1"/>
    </xf>
    <xf numFmtId="0" fontId="0" fillId="0" borderId="27" xfId="0" applyBorder="1" applyAlignment="1">
      <alignment horizontal="left" vertical="center" wrapText="1"/>
    </xf>
    <xf numFmtId="0" fontId="0" fillId="0" borderId="43" xfId="0" applyBorder="1" applyAlignment="1">
      <alignment horizontal="left" vertical="center" wrapText="1"/>
    </xf>
    <xf numFmtId="0" fontId="0" fillId="0" borderId="28" xfId="0" applyBorder="1" applyAlignment="1">
      <alignment horizontal="left" vertical="center" wrapText="1"/>
    </xf>
    <xf numFmtId="0" fontId="0" fillId="0" borderId="33" xfId="0" applyBorder="1" applyAlignment="1">
      <alignment horizontal="left" vertical="center" wrapText="1"/>
    </xf>
    <xf numFmtId="0" fontId="18" fillId="0" borderId="0" xfId="0" applyFont="1" applyAlignment="1">
      <alignment horizontal="center" vertical="center"/>
    </xf>
    <xf numFmtId="0" fontId="15" fillId="0" borderId="0" xfId="0" applyFont="1" applyAlignment="1">
      <alignment horizontal="center" vertical="center"/>
    </xf>
    <xf numFmtId="0" fontId="11" fillId="0" borderId="30" xfId="0" applyFont="1" applyBorder="1" applyAlignment="1">
      <alignment horizontal="center" vertical="center"/>
    </xf>
    <xf numFmtId="0" fontId="11" fillId="0" borderId="28" xfId="0" applyFont="1" applyBorder="1" applyAlignment="1">
      <alignment horizontal="center" vertical="center"/>
    </xf>
    <xf numFmtId="0" fontId="11" fillId="0" borderId="33" xfId="0" applyFont="1" applyBorder="1" applyAlignment="1">
      <alignment horizontal="center" vertical="center"/>
    </xf>
    <xf numFmtId="0" fontId="19" fillId="0" borderId="17" xfId="0" applyFont="1" applyBorder="1" applyAlignment="1">
      <alignment horizontal="center" vertical="center"/>
    </xf>
    <xf numFmtId="0" fontId="19" fillId="0" borderId="29" xfId="0" applyFont="1" applyBorder="1" applyAlignment="1">
      <alignment horizontal="center" vertical="center"/>
    </xf>
    <xf numFmtId="0" fontId="19" fillId="0" borderId="31" xfId="0" applyFont="1" applyBorder="1" applyAlignment="1">
      <alignment horizontal="center" vertical="center"/>
    </xf>
    <xf numFmtId="0" fontId="11" fillId="0" borderId="15" xfId="0" applyFont="1" applyBorder="1" applyAlignment="1">
      <alignment horizontal="center" vertical="center"/>
    </xf>
    <xf numFmtId="0" fontId="11" fillId="0" borderId="32" xfId="0" applyFont="1" applyBorder="1" applyAlignment="1">
      <alignment horizontal="center" vertical="center"/>
    </xf>
    <xf numFmtId="0" fontId="21" fillId="0" borderId="5" xfId="0" applyFont="1" applyBorder="1" applyAlignment="1">
      <alignment horizontal="center"/>
    </xf>
    <xf numFmtId="0" fontId="21" fillId="0" borderId="0" xfId="0" applyFont="1" applyAlignment="1">
      <alignment horizontal="center"/>
    </xf>
    <xf numFmtId="0" fontId="21" fillId="0" borderId="4" xfId="0" applyFont="1" applyBorder="1" applyAlignment="1">
      <alignment horizontal="center"/>
    </xf>
    <xf numFmtId="0" fontId="22" fillId="0" borderId="0" xfId="0" applyFont="1" applyAlignment="1">
      <alignment horizontal="center"/>
    </xf>
    <xf numFmtId="0" fontId="23" fillId="0" borderId="6" xfId="0" applyFont="1" applyBorder="1" applyAlignment="1">
      <alignment horizontal="center" vertical="center" wrapText="1"/>
    </xf>
    <xf numFmtId="0" fontId="23" fillId="0" borderId="13" xfId="0" applyFont="1" applyBorder="1" applyAlignment="1">
      <alignment horizontal="center" vertical="center" wrapText="1"/>
    </xf>
    <xf numFmtId="0" fontId="23" fillId="0" borderId="8" xfId="0" applyFont="1" applyBorder="1" applyAlignment="1">
      <alignment horizontal="center" vertical="center" wrapText="1"/>
    </xf>
    <xf numFmtId="0" fontId="23" fillId="0" borderId="11" xfId="0" applyFont="1" applyBorder="1" applyAlignment="1">
      <alignment horizontal="center" vertical="center" wrapText="1"/>
    </xf>
    <xf numFmtId="0" fontId="24" fillId="0" borderId="5" xfId="0" applyFont="1" applyBorder="1" applyAlignment="1">
      <alignment horizontal="center"/>
    </xf>
    <xf numFmtId="0" fontId="25" fillId="0" borderId="0" xfId="0" applyFont="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0" fillId="0" borderId="0" xfId="0" applyAlignment="1">
      <alignment horizontal="center" wrapText="1"/>
    </xf>
    <xf numFmtId="0" fontId="0" fillId="0" borderId="0" xfId="0" applyAlignment="1">
      <alignment horizontal="center" vertical="center" wrapText="1"/>
    </xf>
    <xf numFmtId="165" fontId="0" fillId="0" borderId="0" xfId="0" applyNumberFormat="1" applyAlignment="1">
      <alignment horizontal="left" vertical="center"/>
    </xf>
    <xf numFmtId="14" fontId="0" fillId="0" borderId="0" xfId="0" applyNumberFormat="1" applyAlignment="1">
      <alignment horizontal="left" vertical="center"/>
    </xf>
    <xf numFmtId="0" fontId="0" fillId="0" borderId="0" xfId="0" applyAlignment="1">
      <alignment horizontal="left" vertical="center"/>
    </xf>
    <xf numFmtId="0" fontId="17" fillId="0" borderId="0" xfId="0" applyFont="1" applyAlignment="1">
      <alignment horizontal="center" vertical="center"/>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29" fillId="0" borderId="7" xfId="0" applyFont="1" applyBorder="1" applyAlignment="1">
      <alignment horizontal="center" vertical="center"/>
    </xf>
    <xf numFmtId="0" fontId="29" fillId="0" borderId="12" xfId="0" applyFont="1" applyBorder="1" applyAlignment="1">
      <alignment horizontal="center" vertical="center"/>
    </xf>
    <xf numFmtId="0" fontId="12" fillId="0" borderId="1" xfId="0" applyFont="1" applyBorder="1" applyAlignment="1">
      <alignment horizontal="center" vertical="distributed" wrapText="1"/>
    </xf>
    <xf numFmtId="0" fontId="12" fillId="5" borderId="1" xfId="0" applyFont="1" applyFill="1" applyBorder="1" applyAlignment="1">
      <alignment horizontal="center" vertical="distributed" wrapText="1"/>
    </xf>
    <xf numFmtId="165" fontId="12" fillId="0" borderId="1" xfId="0" applyNumberFormat="1" applyFont="1" applyBorder="1" applyAlignment="1">
      <alignment horizontal="center" vertical="distributed" wrapText="1"/>
    </xf>
    <xf numFmtId="0" fontId="12" fillId="0" borderId="1" xfId="0" applyFont="1" applyBorder="1" applyAlignment="1">
      <alignment horizontal="left" vertical="distributed" wrapText="1"/>
    </xf>
    <xf numFmtId="1" fontId="2" fillId="2" borderId="1" xfId="0" applyNumberFormat="1" applyFont="1" applyFill="1" applyBorder="1" applyAlignment="1">
      <alignment horizontal="center" vertical="center"/>
    </xf>
    <xf numFmtId="1" fontId="2" fillId="0" borderId="1" xfId="0" applyNumberFormat="1" applyFont="1" applyBorder="1" applyAlignment="1">
      <alignment horizontal="center" vertical="center"/>
    </xf>
    <xf numFmtId="0" fontId="2" fillId="0" borderId="1" xfId="0" applyFont="1" applyFill="1" applyBorder="1" applyAlignment="1">
      <alignment horizontal="center" vertical="center"/>
    </xf>
    <xf numFmtId="0" fontId="34" fillId="0" borderId="1" xfId="8" applyFont="1" applyFill="1" applyBorder="1" applyAlignment="1">
      <alignment horizontal="center" vertical="center"/>
    </xf>
    <xf numFmtId="0" fontId="34" fillId="0" borderId="1" xfId="7" applyFont="1" applyFill="1" applyBorder="1" applyAlignment="1">
      <alignment horizontal="center" vertical="center"/>
    </xf>
  </cellXfs>
  <cellStyles count="9">
    <cellStyle name="Currency" xfId="6" builtinId="4"/>
    <cellStyle name="Currency 2" xfId="1" xr:uid="{00000000-0005-0000-0000-000001000000}"/>
    <cellStyle name="Good" xfId="7" builtinId="26"/>
    <cellStyle name="Neutral" xfId="8" builtinId="28"/>
    <cellStyle name="Normal" xfId="0" builtinId="0"/>
    <cellStyle name="Normal 2" xfId="2" xr:uid="{00000000-0005-0000-0000-000003000000}"/>
    <cellStyle name="Normal 2 2" xfId="5" xr:uid="{00000000-0005-0000-0000-000004000000}"/>
    <cellStyle name="Normal 3" xfId="3" xr:uid="{00000000-0005-0000-0000-000005000000}"/>
    <cellStyle name="Normal 4" xfId="4" xr:uid="{00000000-0005-0000-0000-000006000000}"/>
  </cellStyles>
  <dxfs count="4">
    <dxf>
      <font>
        <color rgb="FF006100"/>
      </font>
      <fill>
        <patternFill>
          <fgColor indexed="64"/>
          <bgColor rgb="FFC6EFCE"/>
        </patternFill>
      </fill>
    </dxf>
    <dxf>
      <font>
        <color rgb="FF9C5700"/>
      </font>
      <fill>
        <patternFill>
          <fgColor indexed="64"/>
          <bgColor rgb="FFFFEB9C"/>
        </patternFill>
      </fill>
    </dxf>
    <dxf>
      <font>
        <color rgb="FF006100"/>
      </font>
      <fill>
        <patternFill>
          <fgColor indexed="64"/>
          <bgColor rgb="FFC6EFCE"/>
        </patternFill>
      </fill>
    </dxf>
    <dxf>
      <font>
        <color rgb="FF9C5700"/>
      </font>
      <fill>
        <patternFill>
          <fgColor indexed="64"/>
          <bgColor rgb="FFFFEB9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99"/>
      <color rgb="FF005B82"/>
      <color rgb="FFCCFFFF"/>
      <color rgb="FFDEF6FE"/>
      <color rgb="FFBEDBFE"/>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ctrlProps/ctrlProp25.xml><?xml version="1.0" encoding="utf-8"?>
<formControlPr xmlns="http://schemas.microsoft.com/office/spreadsheetml/2009/9/main" objectType="Button" lockText="1"/>
</file>

<file path=xl/ctrlProps/ctrlProp26.xml><?xml version="1.0" encoding="utf-8"?>
<formControlPr xmlns="http://schemas.microsoft.com/office/spreadsheetml/2009/9/main" objectType="Button" lockText="1"/>
</file>

<file path=xl/ctrlProps/ctrlProp27.xml><?xml version="1.0" encoding="utf-8"?>
<formControlPr xmlns="http://schemas.microsoft.com/office/spreadsheetml/2009/9/main" objectType="Button" lockText="1"/>
</file>

<file path=xl/ctrlProps/ctrlProp28.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238125</xdr:colOff>
          <xdr:row>15</xdr:row>
          <xdr:rowOff>228600</xdr:rowOff>
        </xdr:from>
        <xdr:to>
          <xdr:col>1</xdr:col>
          <xdr:colOff>2276475</xdr:colOff>
          <xdr:row>21</xdr:row>
          <xdr:rowOff>95250</xdr:rowOff>
        </xdr:to>
        <xdr:sp macro="" textlink="">
          <xdr:nvSpPr>
            <xdr:cNvPr id="1042" name="Button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400" b="1" i="0" u="none" strike="noStrike" baseline="0">
                  <a:solidFill>
                    <a:srgbClr val="000000"/>
                  </a:solidFill>
                  <a:latin typeface="Arial"/>
                  <a:cs typeface="Arial"/>
                </a:rPr>
                <a:t>Torsion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238125</xdr:colOff>
          <xdr:row>30</xdr:row>
          <xdr:rowOff>19050</xdr:rowOff>
        </xdr:from>
        <xdr:to>
          <xdr:col>1</xdr:col>
          <xdr:colOff>2276475</xdr:colOff>
          <xdr:row>36</xdr:row>
          <xdr:rowOff>19050</xdr:rowOff>
        </xdr:to>
        <xdr:sp macro="" textlink="">
          <xdr:nvSpPr>
            <xdr:cNvPr id="1043" name="Button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400" b="1" i="0" u="none" strike="noStrike" baseline="0">
                  <a:solidFill>
                    <a:srgbClr val="000000"/>
                  </a:solidFill>
                  <a:latin typeface="Arial"/>
                  <a:cs typeface="Arial"/>
                </a:rPr>
                <a:t>Residual Cyclic Life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238125</xdr:colOff>
          <xdr:row>2</xdr:row>
          <xdr:rowOff>28575</xdr:rowOff>
        </xdr:from>
        <xdr:to>
          <xdr:col>3</xdr:col>
          <xdr:colOff>2286000</xdr:colOff>
          <xdr:row>8</xdr:row>
          <xdr:rowOff>28575</xdr:rowOff>
        </xdr:to>
        <xdr:sp macro="" textlink="">
          <xdr:nvSpPr>
            <xdr:cNvPr id="1044" name="Button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400" b="1" i="0" u="none" strike="noStrike" baseline="0">
                  <a:solidFill>
                    <a:srgbClr val="000000"/>
                  </a:solidFill>
                  <a:latin typeface="Arial"/>
                  <a:cs typeface="Arial"/>
                </a:rPr>
                <a:t>Tensile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238125</xdr:colOff>
          <xdr:row>9</xdr:row>
          <xdr:rowOff>0</xdr:rowOff>
        </xdr:from>
        <xdr:to>
          <xdr:col>3</xdr:col>
          <xdr:colOff>2286000</xdr:colOff>
          <xdr:row>14</xdr:row>
          <xdr:rowOff>104775</xdr:rowOff>
        </xdr:to>
        <xdr:sp macro="" textlink="">
          <xdr:nvSpPr>
            <xdr:cNvPr id="1045" name="Button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400" b="1" i="0" u="none" strike="noStrike" baseline="0">
                  <a:solidFill>
                    <a:srgbClr val="000000"/>
                  </a:solidFill>
                  <a:latin typeface="Arial"/>
                  <a:cs typeface="Arial"/>
                </a:rPr>
                <a:t>Compression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238125</xdr:colOff>
          <xdr:row>23</xdr:row>
          <xdr:rowOff>28575</xdr:rowOff>
        </xdr:from>
        <xdr:to>
          <xdr:col>3</xdr:col>
          <xdr:colOff>2286000</xdr:colOff>
          <xdr:row>29</xdr:row>
          <xdr:rowOff>19050</xdr:rowOff>
        </xdr:to>
        <xdr:sp macro="" textlink="">
          <xdr:nvSpPr>
            <xdr:cNvPr id="1046" name="Button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400" b="1" i="0" u="none" strike="noStrike" baseline="0">
                  <a:solidFill>
                    <a:srgbClr val="000000"/>
                  </a:solidFill>
                  <a:latin typeface="Arial"/>
                  <a:cs typeface="Arial"/>
                </a:rPr>
                <a:t>Dynamic Modulus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238125</xdr:colOff>
          <xdr:row>30</xdr:row>
          <xdr:rowOff>28575</xdr:rowOff>
        </xdr:from>
        <xdr:to>
          <xdr:col>3</xdr:col>
          <xdr:colOff>2286000</xdr:colOff>
          <xdr:row>36</xdr:row>
          <xdr:rowOff>28575</xdr:rowOff>
        </xdr:to>
        <xdr:sp macro="" textlink="">
          <xdr:nvSpPr>
            <xdr:cNvPr id="1048" name="Button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400" b="1" i="0" u="none" strike="noStrike" baseline="0">
                  <a:solidFill>
                    <a:srgbClr val="000000"/>
                  </a:solidFill>
                  <a:latin typeface="Arial"/>
                  <a:cs typeface="Arial"/>
                </a:rPr>
                <a:t>Static Young's Modulus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238125</xdr:colOff>
          <xdr:row>37</xdr:row>
          <xdr:rowOff>19050</xdr:rowOff>
        </xdr:from>
        <xdr:to>
          <xdr:col>3</xdr:col>
          <xdr:colOff>2286000</xdr:colOff>
          <xdr:row>43</xdr:row>
          <xdr:rowOff>19050</xdr:rowOff>
        </xdr:to>
        <xdr:sp macro="" textlink="">
          <xdr:nvSpPr>
            <xdr:cNvPr id="1049" name="Button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400" b="1" i="0" u="none" strike="noStrike" baseline="0">
                  <a:solidFill>
                    <a:srgbClr val="000000"/>
                  </a:solidFill>
                  <a:latin typeface="Arial"/>
                  <a:cs typeface="Arial"/>
                </a:rPr>
                <a:t>Static Shear Modulus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238125</xdr:colOff>
          <xdr:row>44</xdr:row>
          <xdr:rowOff>19050</xdr:rowOff>
        </xdr:from>
        <xdr:to>
          <xdr:col>3</xdr:col>
          <xdr:colOff>2286000</xdr:colOff>
          <xdr:row>50</xdr:row>
          <xdr:rowOff>19050</xdr:rowOff>
        </xdr:to>
        <xdr:sp macro="" textlink="">
          <xdr:nvSpPr>
            <xdr:cNvPr id="1050" name="Button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400" b="1" i="0" u="none" strike="noStrike" baseline="0">
                  <a:solidFill>
                    <a:srgbClr val="000000"/>
                  </a:solidFill>
                  <a:latin typeface="Arial"/>
                  <a:cs typeface="Arial"/>
                </a:rPr>
                <a:t>Poisson's Ratio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238125</xdr:colOff>
          <xdr:row>37</xdr:row>
          <xdr:rowOff>19050</xdr:rowOff>
        </xdr:from>
        <xdr:to>
          <xdr:col>5</xdr:col>
          <xdr:colOff>2286000</xdr:colOff>
          <xdr:row>43</xdr:row>
          <xdr:rowOff>19050</xdr:rowOff>
        </xdr:to>
        <xdr:sp macro="" textlink="">
          <xdr:nvSpPr>
            <xdr:cNvPr id="1051" name="Button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400" b="1" i="0" u="none" strike="noStrike" baseline="0">
                  <a:solidFill>
                    <a:srgbClr val="000000"/>
                  </a:solidFill>
                  <a:latin typeface="Arial"/>
                  <a:cs typeface="Arial"/>
                </a:rPr>
                <a:t>Mfg Only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238125</xdr:colOff>
          <xdr:row>37</xdr:row>
          <xdr:rowOff>19050</xdr:rowOff>
        </xdr:from>
        <xdr:to>
          <xdr:col>1</xdr:col>
          <xdr:colOff>2276475</xdr:colOff>
          <xdr:row>43</xdr:row>
          <xdr:rowOff>19050</xdr:rowOff>
        </xdr:to>
        <xdr:sp macro="" textlink="">
          <xdr:nvSpPr>
            <xdr:cNvPr id="1052" name="Button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400" b="1" i="0" u="none" strike="noStrike" baseline="0">
                  <a:solidFill>
                    <a:srgbClr val="000000"/>
                  </a:solidFill>
                  <a:latin typeface="Arial"/>
                  <a:cs typeface="Arial"/>
                </a:rPr>
                <a:t>Rotating Bend</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238125</xdr:colOff>
          <xdr:row>44</xdr:row>
          <xdr:rowOff>19050</xdr:rowOff>
        </xdr:from>
        <xdr:to>
          <xdr:col>1</xdr:col>
          <xdr:colOff>2276475</xdr:colOff>
          <xdr:row>50</xdr:row>
          <xdr:rowOff>19050</xdr:rowOff>
        </xdr:to>
        <xdr:sp macro="" textlink="">
          <xdr:nvSpPr>
            <xdr:cNvPr id="1054" name="Button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400" b="1" i="0" u="none" strike="noStrike" baseline="0">
                  <a:solidFill>
                    <a:srgbClr val="000000"/>
                  </a:solidFill>
                  <a:latin typeface="Arial"/>
                  <a:cs typeface="Arial"/>
                </a:rPr>
                <a:t>3/4-Point Bend</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238125</xdr:colOff>
          <xdr:row>50</xdr:row>
          <xdr:rowOff>228600</xdr:rowOff>
        </xdr:from>
        <xdr:to>
          <xdr:col>1</xdr:col>
          <xdr:colOff>2276475</xdr:colOff>
          <xdr:row>56</xdr:row>
          <xdr:rowOff>95250</xdr:rowOff>
        </xdr:to>
        <xdr:sp macro="" textlink="">
          <xdr:nvSpPr>
            <xdr:cNvPr id="1055" name="Button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400" b="1" i="0" u="none" strike="noStrike" baseline="0">
                  <a:solidFill>
                    <a:srgbClr val="000000"/>
                  </a:solidFill>
                  <a:latin typeface="Arial"/>
                  <a:cs typeface="Arial"/>
                </a:rPr>
                <a:t>Cantilever Bend</a:t>
              </a:r>
            </a:p>
          </xdr:txBody>
        </xdr:sp>
        <xdr:clientData fPrintsWithSheet="0"/>
      </xdr:twoCellAnchor>
    </mc:Choice>
    <mc:Fallback/>
  </mc:AlternateContent>
  <xdr:twoCellAnchor editAs="oneCell">
    <xdr:from>
      <xdr:col>9</xdr:col>
      <xdr:colOff>491130</xdr:colOff>
      <xdr:row>23</xdr:row>
      <xdr:rowOff>1</xdr:rowOff>
    </xdr:from>
    <xdr:to>
      <xdr:col>14</xdr:col>
      <xdr:colOff>195618</xdr:colOff>
      <xdr:row>59</xdr:row>
      <xdr:rowOff>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6419" t="15044" r="26418" b="14915"/>
        <a:stretch/>
      </xdr:blipFill>
      <xdr:spPr>
        <a:xfrm>
          <a:off x="12407963" y="2995084"/>
          <a:ext cx="2773655" cy="4423834"/>
        </a:xfrm>
        <a:prstGeom prst="rect">
          <a:avLst/>
        </a:prstGeom>
      </xdr:spPr>
    </xdr:pic>
    <xdr:clientData/>
  </xdr:twoCellAnchor>
  <mc:AlternateContent xmlns:mc="http://schemas.openxmlformats.org/markup-compatibility/2006">
    <mc:Choice xmlns:a14="http://schemas.microsoft.com/office/drawing/2010/main" Requires="a14">
      <xdr:twoCellAnchor>
        <xdr:from>
          <xdr:col>0</xdr:col>
          <xdr:colOff>238125</xdr:colOff>
          <xdr:row>2</xdr:row>
          <xdr:rowOff>28575</xdr:rowOff>
        </xdr:from>
        <xdr:to>
          <xdr:col>1</xdr:col>
          <xdr:colOff>2276475</xdr:colOff>
          <xdr:row>8</xdr:row>
          <xdr:rowOff>28575</xdr:rowOff>
        </xdr:to>
        <xdr:sp macro="" textlink="">
          <xdr:nvSpPr>
            <xdr:cNvPr id="1057" name="Button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400" b="1" i="0" u="none" strike="noStrike" baseline="0">
                  <a:solidFill>
                    <a:srgbClr val="000000"/>
                  </a:solidFill>
                  <a:latin typeface="Arial"/>
                  <a:cs typeface="Arial"/>
                </a:rPr>
                <a:t>Load Control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238125</xdr:colOff>
          <xdr:row>23</xdr:row>
          <xdr:rowOff>28575</xdr:rowOff>
        </xdr:from>
        <xdr:to>
          <xdr:col>5</xdr:col>
          <xdr:colOff>2286000</xdr:colOff>
          <xdr:row>29</xdr:row>
          <xdr:rowOff>19050</xdr:rowOff>
        </xdr:to>
        <xdr:sp macro="" textlink="">
          <xdr:nvSpPr>
            <xdr:cNvPr id="1058" name="Button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400" b="1" i="0" u="none" strike="noStrike" baseline="0">
                  <a:solidFill>
                    <a:srgbClr val="000000"/>
                  </a:solidFill>
                  <a:latin typeface="Arial"/>
                  <a:cs typeface="Arial"/>
                </a:rPr>
                <a:t>Erosion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238125</xdr:colOff>
          <xdr:row>15</xdr:row>
          <xdr:rowOff>228600</xdr:rowOff>
        </xdr:from>
        <xdr:to>
          <xdr:col>3</xdr:col>
          <xdr:colOff>2286000</xdr:colOff>
          <xdr:row>21</xdr:row>
          <xdr:rowOff>95250</xdr:rowOff>
        </xdr:to>
        <xdr:sp macro="" textlink="">
          <xdr:nvSpPr>
            <xdr:cNvPr id="1059" name="Button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400" b="1" i="0" u="none" strike="noStrike" baseline="0">
                  <a:solidFill>
                    <a:srgbClr val="000000"/>
                  </a:solidFill>
                  <a:latin typeface="Arial"/>
                  <a:cs typeface="Arial"/>
                </a:rPr>
                <a:t>Pin / Flat Shear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238125</xdr:colOff>
          <xdr:row>2</xdr:row>
          <xdr:rowOff>28575</xdr:rowOff>
        </xdr:from>
        <xdr:to>
          <xdr:col>5</xdr:col>
          <xdr:colOff>2286000</xdr:colOff>
          <xdr:row>8</xdr:row>
          <xdr:rowOff>28575</xdr:rowOff>
        </xdr:to>
        <xdr:sp macro="" textlink="">
          <xdr:nvSpPr>
            <xdr:cNvPr id="1060" name="Button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400" b="1" i="0" u="none" strike="noStrike" baseline="0">
                  <a:solidFill>
                    <a:srgbClr val="000000"/>
                  </a:solidFill>
                  <a:latin typeface="Arial"/>
                  <a:cs typeface="Arial"/>
                </a:rPr>
                <a:t>Fracture Toughness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238125</xdr:colOff>
          <xdr:row>23</xdr:row>
          <xdr:rowOff>28575</xdr:rowOff>
        </xdr:from>
        <xdr:to>
          <xdr:col>1</xdr:col>
          <xdr:colOff>2276475</xdr:colOff>
          <xdr:row>29</xdr:row>
          <xdr:rowOff>19050</xdr:rowOff>
        </xdr:to>
        <xdr:sp macro="" textlink="">
          <xdr:nvSpPr>
            <xdr:cNvPr id="1061" name="Button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400" b="1" i="0" u="none" strike="noStrike" baseline="0">
                  <a:solidFill>
                    <a:srgbClr val="FF0000"/>
                  </a:solidFill>
                  <a:latin typeface="Arial"/>
                  <a:cs typeface="Arial"/>
                </a:rPr>
                <a:t>Axial Torsion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238125</xdr:colOff>
          <xdr:row>9</xdr:row>
          <xdr:rowOff>0</xdr:rowOff>
        </xdr:from>
        <xdr:to>
          <xdr:col>5</xdr:col>
          <xdr:colOff>2286000</xdr:colOff>
          <xdr:row>14</xdr:row>
          <xdr:rowOff>104775</xdr:rowOff>
        </xdr:to>
        <xdr:sp macro="" textlink="">
          <xdr:nvSpPr>
            <xdr:cNvPr id="1062" name="Button 38"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400" b="1" i="0" u="none" strike="noStrike" baseline="0">
                  <a:solidFill>
                    <a:srgbClr val="000000"/>
                  </a:solidFill>
                  <a:latin typeface="Arial"/>
                  <a:cs typeface="Arial"/>
                </a:rPr>
                <a:t>FCGR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238125</xdr:colOff>
          <xdr:row>50</xdr:row>
          <xdr:rowOff>228600</xdr:rowOff>
        </xdr:from>
        <xdr:to>
          <xdr:col>3</xdr:col>
          <xdr:colOff>2286000</xdr:colOff>
          <xdr:row>56</xdr:row>
          <xdr:rowOff>95250</xdr:rowOff>
        </xdr:to>
        <xdr:sp macro="" textlink="">
          <xdr:nvSpPr>
            <xdr:cNvPr id="1063" name="Button 39" hidden="1">
              <a:extLst>
                <a:ext uri="{63B3BB69-23CF-44E3-9099-C40C66FF867C}">
                  <a14:compatExt spid="_x0000_s1063"/>
                </a:ext>
                <a:ext uri="{FF2B5EF4-FFF2-40B4-BE49-F238E27FC236}">
                  <a16:creationId xmlns:a16="http://schemas.microsoft.com/office/drawing/2014/main" id="{00000000-0008-0000-0000-000027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400" b="1" i="0" u="none" strike="noStrike" baseline="0">
                  <a:solidFill>
                    <a:srgbClr val="FF0000"/>
                  </a:solidFill>
                  <a:latin typeface="Arial"/>
                  <a:cs typeface="Arial"/>
                </a:rPr>
                <a:t>Creep / SR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238125</xdr:colOff>
          <xdr:row>9</xdr:row>
          <xdr:rowOff>0</xdr:rowOff>
        </xdr:from>
        <xdr:to>
          <xdr:col>1</xdr:col>
          <xdr:colOff>2276475</xdr:colOff>
          <xdr:row>14</xdr:row>
          <xdr:rowOff>104775</xdr:rowOff>
        </xdr:to>
        <xdr:sp macro="" textlink="">
          <xdr:nvSpPr>
            <xdr:cNvPr id="1069" name="Button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400" b="1" i="0" u="none" strike="noStrike" baseline="0">
                  <a:solidFill>
                    <a:srgbClr val="000000"/>
                  </a:solidFill>
                  <a:latin typeface="Arial"/>
                  <a:cs typeface="Arial"/>
                </a:rPr>
                <a:t>Strain Control</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228600</xdr:colOff>
          <xdr:row>1</xdr:row>
          <xdr:rowOff>85725</xdr:rowOff>
        </xdr:from>
        <xdr:to>
          <xdr:col>5</xdr:col>
          <xdr:colOff>771525</xdr:colOff>
          <xdr:row>6</xdr:row>
          <xdr:rowOff>209550</xdr:rowOff>
        </xdr:to>
        <xdr:sp macro="" textlink="">
          <xdr:nvSpPr>
            <xdr:cNvPr id="2050" name="Button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400" b="1" i="0" u="none" strike="noStrike" baseline="0">
                  <a:solidFill>
                    <a:srgbClr val="000000"/>
                  </a:solidFill>
                  <a:latin typeface="Arial"/>
                  <a:cs typeface="Arial"/>
                </a:rPr>
                <a:t>Customer Info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304800</xdr:colOff>
          <xdr:row>1</xdr:row>
          <xdr:rowOff>85725</xdr:rowOff>
        </xdr:from>
        <xdr:to>
          <xdr:col>8</xdr:col>
          <xdr:colOff>9525</xdr:colOff>
          <xdr:row>6</xdr:row>
          <xdr:rowOff>209550</xdr:rowOff>
        </xdr:to>
        <xdr:sp macro="" textlink="">
          <xdr:nvSpPr>
            <xdr:cNvPr id="2051" name="Button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400" b="1" i="0" u="none" strike="noStrike" baseline="0">
                  <a:solidFill>
                    <a:srgbClr val="000000"/>
                  </a:solidFill>
                  <a:latin typeface="Arial"/>
                  <a:cs typeface="Arial"/>
                </a:rPr>
                <a:t>Repeat Setup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228600</xdr:colOff>
          <xdr:row>8</xdr:row>
          <xdr:rowOff>76200</xdr:rowOff>
        </xdr:from>
        <xdr:to>
          <xdr:col>8</xdr:col>
          <xdr:colOff>9525</xdr:colOff>
          <xdr:row>13</xdr:row>
          <xdr:rowOff>200025</xdr:rowOff>
        </xdr:to>
        <xdr:sp macro="" textlink="">
          <xdr:nvSpPr>
            <xdr:cNvPr id="2052" name="Button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400" b="1" i="0" u="none" strike="noStrike" baseline="0">
                  <a:solidFill>
                    <a:srgbClr val="000000"/>
                  </a:solidFill>
                  <a:latin typeface="Arial"/>
                  <a:cs typeface="Arial"/>
                </a:rPr>
                <a:t>Set Up Program</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12700</xdr:colOff>
      <xdr:row>0</xdr:row>
      <xdr:rowOff>12700</xdr:rowOff>
    </xdr:from>
    <xdr:to>
      <xdr:col>0</xdr:col>
      <xdr:colOff>647700</xdr:colOff>
      <xdr:row>3</xdr:row>
      <xdr:rowOff>28575</xdr:rowOff>
    </xdr:to>
    <xdr:pic>
      <xdr:nvPicPr>
        <xdr:cNvPr id="3" name="Picture 2">
          <a:extLst>
            <a:ext uri="{FF2B5EF4-FFF2-40B4-BE49-F238E27FC236}">
              <a16:creationId xmlns:a16="http://schemas.microsoft.com/office/drawing/2014/main" id="{00000000-0008-0000-03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700" y="12700"/>
          <a:ext cx="635000" cy="635000"/>
        </a:xfrm>
        <a:prstGeom prst="rect">
          <a:avLst/>
        </a:prstGeom>
      </xdr:spPr>
    </xdr:pic>
    <xdr:clientData/>
  </xdr:twoCellAnchor>
  <mc:AlternateContent xmlns:mc="http://schemas.openxmlformats.org/markup-compatibility/2006">
    <mc:Choice xmlns:a14="http://schemas.microsoft.com/office/drawing/2010/main" Requires="a14">
      <xdr:twoCellAnchor>
        <xdr:from>
          <xdr:col>6</xdr:col>
          <xdr:colOff>104775</xdr:colOff>
          <xdr:row>6</xdr:row>
          <xdr:rowOff>95250</xdr:rowOff>
        </xdr:from>
        <xdr:to>
          <xdr:col>9</xdr:col>
          <xdr:colOff>180975</xdr:colOff>
          <xdr:row>11</xdr:row>
          <xdr:rowOff>38100</xdr:rowOff>
        </xdr:to>
        <xdr:sp macro="" textlink="">
          <xdr:nvSpPr>
            <xdr:cNvPr id="5122" name="Button 2" hidden="1">
              <a:extLst>
                <a:ext uri="{63B3BB69-23CF-44E3-9099-C40C66FF867C}">
                  <a14:compatExt spid="_x0000_s5122"/>
                </a:ext>
                <a:ext uri="{FF2B5EF4-FFF2-40B4-BE49-F238E27FC236}">
                  <a16:creationId xmlns:a16="http://schemas.microsoft.com/office/drawing/2014/main" id="{00000000-0008-0000-0300-0000021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Press for Repeat Customers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104775</xdr:colOff>
          <xdr:row>12</xdr:row>
          <xdr:rowOff>123825</xdr:rowOff>
        </xdr:from>
        <xdr:to>
          <xdr:col>9</xdr:col>
          <xdr:colOff>180975</xdr:colOff>
          <xdr:row>14</xdr:row>
          <xdr:rowOff>123825</xdr:rowOff>
        </xdr:to>
        <xdr:sp macro="" textlink="">
          <xdr:nvSpPr>
            <xdr:cNvPr id="5123" name="Button 3" hidden="1">
              <a:extLst>
                <a:ext uri="{63B3BB69-23CF-44E3-9099-C40C66FF867C}">
                  <a14:compatExt spid="_x0000_s5123"/>
                </a:ext>
                <a:ext uri="{FF2B5EF4-FFF2-40B4-BE49-F238E27FC236}">
                  <a16:creationId xmlns:a16="http://schemas.microsoft.com/office/drawing/2014/main" id="{00000000-0008-0000-0300-0000031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Send to Dept. 10 Folder</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0</xdr:col>
      <xdr:colOff>12700</xdr:colOff>
      <xdr:row>0</xdr:row>
      <xdr:rowOff>12700</xdr:rowOff>
    </xdr:from>
    <xdr:to>
      <xdr:col>0</xdr:col>
      <xdr:colOff>647700</xdr:colOff>
      <xdr:row>3</xdr:row>
      <xdr:rowOff>28575</xdr:rowOff>
    </xdr:to>
    <xdr:pic>
      <xdr:nvPicPr>
        <xdr:cNvPr id="2" name="Picture 1">
          <a:extLst>
            <a:ext uri="{FF2B5EF4-FFF2-40B4-BE49-F238E27FC236}">
              <a16:creationId xmlns:a16="http://schemas.microsoft.com/office/drawing/2014/main" id="{00000000-0008-0000-04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700" y="12700"/>
          <a:ext cx="635000" cy="635000"/>
        </a:xfrm>
        <a:prstGeom prst="rect">
          <a:avLst/>
        </a:prstGeom>
      </xdr:spPr>
    </xdr:pic>
    <xdr:clientData/>
  </xdr:twoCellAnchor>
  <mc:AlternateContent xmlns:mc="http://schemas.openxmlformats.org/markup-compatibility/2006">
    <mc:Choice xmlns:a14="http://schemas.microsoft.com/office/drawing/2010/main" Requires="a14">
      <xdr:twoCellAnchor>
        <xdr:from>
          <xdr:col>6</xdr:col>
          <xdr:colOff>104775</xdr:colOff>
          <xdr:row>6</xdr:row>
          <xdr:rowOff>95250</xdr:rowOff>
        </xdr:from>
        <xdr:to>
          <xdr:col>9</xdr:col>
          <xdr:colOff>180975</xdr:colOff>
          <xdr:row>11</xdr:row>
          <xdr:rowOff>38100</xdr:rowOff>
        </xdr:to>
        <xdr:sp macro="" textlink="">
          <xdr:nvSpPr>
            <xdr:cNvPr id="13313" name="Button 1" hidden="1">
              <a:extLst>
                <a:ext uri="{63B3BB69-23CF-44E3-9099-C40C66FF867C}">
                  <a14:compatExt spid="_x0000_s13313"/>
                </a:ext>
                <a:ext uri="{FF2B5EF4-FFF2-40B4-BE49-F238E27FC236}">
                  <a16:creationId xmlns:a16="http://schemas.microsoft.com/office/drawing/2014/main" id="{00000000-0008-0000-0400-0000013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Press for Repeat Customers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104775</xdr:colOff>
          <xdr:row>12</xdr:row>
          <xdr:rowOff>123825</xdr:rowOff>
        </xdr:from>
        <xdr:to>
          <xdr:col>9</xdr:col>
          <xdr:colOff>180975</xdr:colOff>
          <xdr:row>14</xdr:row>
          <xdr:rowOff>123825</xdr:rowOff>
        </xdr:to>
        <xdr:sp macro="" textlink="">
          <xdr:nvSpPr>
            <xdr:cNvPr id="13314" name="Button 2" hidden="1">
              <a:extLst>
                <a:ext uri="{63B3BB69-23CF-44E3-9099-C40C66FF867C}">
                  <a14:compatExt spid="_x0000_s13314"/>
                </a:ext>
                <a:ext uri="{FF2B5EF4-FFF2-40B4-BE49-F238E27FC236}">
                  <a16:creationId xmlns:a16="http://schemas.microsoft.com/office/drawing/2014/main" id="{00000000-0008-0000-0400-0000023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Send to Dept. 10 Folder</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590550</xdr:colOff>
          <xdr:row>0</xdr:row>
          <xdr:rowOff>314325</xdr:rowOff>
        </xdr:from>
        <xdr:to>
          <xdr:col>9</xdr:col>
          <xdr:colOff>38100</xdr:colOff>
          <xdr:row>5</xdr:row>
          <xdr:rowOff>66675</xdr:rowOff>
        </xdr:to>
        <xdr:sp macro="" textlink="">
          <xdr:nvSpPr>
            <xdr:cNvPr id="6145" name="Button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en-US" sz="1400" b="1" i="0" u="none" strike="noStrike" baseline="0">
                  <a:solidFill>
                    <a:srgbClr val="000000"/>
                  </a:solidFill>
                  <a:latin typeface="Arial"/>
                  <a:cs typeface="Arial"/>
                </a:rPr>
                <a:t>Print Binder Label</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12700</xdr:colOff>
      <xdr:row>0</xdr:row>
      <xdr:rowOff>12700</xdr:rowOff>
    </xdr:from>
    <xdr:to>
      <xdr:col>13</xdr:col>
      <xdr:colOff>342900</xdr:colOff>
      <xdr:row>39</xdr:row>
      <xdr:rowOff>47625</xdr:rowOff>
    </xdr:to>
    <xdr:pic>
      <xdr:nvPicPr>
        <xdr:cNvPr id="3" name="Picture 2">
          <a:extLst>
            <a:ext uri="{FF2B5EF4-FFF2-40B4-BE49-F238E27FC236}">
              <a16:creationId xmlns:a16="http://schemas.microsoft.com/office/drawing/2014/main" id="{00000000-0008-0000-0700-000003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00" y="12700"/>
          <a:ext cx="8255000" cy="6350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12700</xdr:colOff>
      <xdr:row>0</xdr:row>
      <xdr:rowOff>12700</xdr:rowOff>
    </xdr:from>
    <xdr:to>
      <xdr:col>0</xdr:col>
      <xdr:colOff>520700</xdr:colOff>
      <xdr:row>2</xdr:row>
      <xdr:rowOff>120650</xdr:rowOff>
    </xdr:to>
    <xdr:pic>
      <xdr:nvPicPr>
        <xdr:cNvPr id="2" name="Picture 1">
          <a:extLst>
            <a:ext uri="{FF2B5EF4-FFF2-40B4-BE49-F238E27FC236}">
              <a16:creationId xmlns:a16="http://schemas.microsoft.com/office/drawing/2014/main" id="{00000000-0008-0000-0B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700" y="12700"/>
          <a:ext cx="508000" cy="508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12700</xdr:colOff>
      <xdr:row>0</xdr:row>
      <xdr:rowOff>12700</xdr:rowOff>
    </xdr:from>
    <xdr:to>
      <xdr:col>0</xdr:col>
      <xdr:colOff>647700</xdr:colOff>
      <xdr:row>0</xdr:row>
      <xdr:rowOff>647700</xdr:rowOff>
    </xdr:to>
    <xdr:pic>
      <xdr:nvPicPr>
        <xdr:cNvPr id="3" name="Picture 2">
          <a:extLst>
            <a:ext uri="{FF2B5EF4-FFF2-40B4-BE49-F238E27FC236}">
              <a16:creationId xmlns:a16="http://schemas.microsoft.com/office/drawing/2014/main" id="{00000000-0008-0000-0D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700" y="12700"/>
          <a:ext cx="635000" cy="635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101757\24%20-%20FCGR\Data\J1C%20Testing\L3767-J1\L3767-J1_English_J1C.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101867\24%20-%20FCGR\Data\J1C\L3768-J1\L3768-J1_K1C.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820 User Input"/>
      <sheetName val="813-87 J Plot"/>
      <sheetName val="1820 Reduced Data"/>
      <sheetName val="1820 J Plot"/>
      <sheetName val="1921 Cover Page"/>
      <sheetName val="1921 Raw Data"/>
      <sheetName val="1921 K Plot"/>
      <sheetName val="1820-N J Plot"/>
      <sheetName val="1820 Cover Page"/>
      <sheetName val="1820 Raw Data"/>
      <sheetName val="Additional Data"/>
      <sheetName val="Variables"/>
    </sheetNames>
    <sheetDataSet>
      <sheetData sheetId="0" refreshError="1"/>
      <sheetData sheetId="1" refreshError="1"/>
      <sheetData sheetId="2">
        <row r="1">
          <cell r="B1" t="str">
            <v>First Iteration Data Set</v>
          </cell>
          <cell r="D1" t="str">
            <v>Second Iteration Data Set</v>
          </cell>
        </row>
        <row r="2">
          <cell r="B2" t="str">
            <v>Da</v>
          </cell>
          <cell r="C2" t="str">
            <v>J1820</v>
          </cell>
          <cell r="D2" t="str">
            <v>Da</v>
          </cell>
          <cell r="E2" t="str">
            <v>J1820</v>
          </cell>
        </row>
        <row r="3">
          <cell r="B3">
            <v>8.971627801656723E-3</v>
          </cell>
          <cell r="C3">
            <v>750.868896484375</v>
          </cell>
          <cell r="D3">
            <v>8.971627801656723E-3</v>
          </cell>
          <cell r="E3">
            <v>750.868896484375</v>
          </cell>
        </row>
        <row r="4">
          <cell r="B4">
            <v>1.1034365743398666E-2</v>
          </cell>
          <cell r="C4">
            <v>782.586669921875</v>
          </cell>
          <cell r="D4">
            <v>1.1034365743398666E-2</v>
          </cell>
          <cell r="E4">
            <v>782.586669921875</v>
          </cell>
        </row>
        <row r="5">
          <cell r="B5">
            <v>1.1726852506399155E-2</v>
          </cell>
          <cell r="C5">
            <v>818.0496826171875</v>
          </cell>
          <cell r="D5">
            <v>1.1726852506399155E-2</v>
          </cell>
          <cell r="E5">
            <v>818.0496826171875</v>
          </cell>
        </row>
        <row r="6">
          <cell r="B6">
            <v>1.4691706746816635E-2</v>
          </cell>
          <cell r="C6">
            <v>846.1890869140625</v>
          </cell>
          <cell r="D6">
            <v>1.4691706746816635E-2</v>
          </cell>
          <cell r="E6">
            <v>846.1890869140625</v>
          </cell>
        </row>
        <row r="7">
          <cell r="B7">
            <v>1.5644963830709457E-2</v>
          </cell>
          <cell r="C7">
            <v>879.8953857421875</v>
          </cell>
          <cell r="D7">
            <v>1.5644963830709457E-2</v>
          </cell>
          <cell r="E7">
            <v>879.8953857421875</v>
          </cell>
        </row>
        <row r="8">
          <cell r="B8">
            <v>1.9071515649557114E-2</v>
          </cell>
          <cell r="C8">
            <v>911.8917236328125</v>
          </cell>
          <cell r="D8">
            <v>1.9071515649557114E-2</v>
          </cell>
          <cell r="E8">
            <v>911.8917236328125</v>
          </cell>
        </row>
        <row r="9">
          <cell r="B9">
            <v>2.3055966943502426E-2</v>
          </cell>
          <cell r="C9">
            <v>944.66094970703125</v>
          </cell>
          <cell r="D9">
            <v>2.3055966943502426E-2</v>
          </cell>
          <cell r="E9">
            <v>944.66094970703125</v>
          </cell>
        </row>
        <row r="10">
          <cell r="B10">
            <v>2.7670260518789291E-2</v>
          </cell>
          <cell r="C10">
            <v>969.51312255859375</v>
          </cell>
          <cell r="D10">
            <v>2.7670260518789291E-2</v>
          </cell>
          <cell r="E10">
            <v>969.51312255859375</v>
          </cell>
        </row>
        <row r="11">
          <cell r="B11">
            <v>3.1776066869497299E-2</v>
          </cell>
          <cell r="C11">
            <v>998.1180419921875</v>
          </cell>
          <cell r="D11">
            <v>3.1776066869497299E-2</v>
          </cell>
          <cell r="E11">
            <v>998.1180419921875</v>
          </cell>
        </row>
        <row r="12">
          <cell r="B12">
            <v>3.5407956689596176E-2</v>
          </cell>
          <cell r="C12">
            <v>1024.7965087890625</v>
          </cell>
          <cell r="D12">
            <v>3.5407956689596176E-2</v>
          </cell>
          <cell r="E12">
            <v>1024.7965087890625</v>
          </cell>
        </row>
        <row r="13">
          <cell r="B13">
            <v>4.169129952788353E-2</v>
          </cell>
          <cell r="C13">
            <v>1044.9814453125</v>
          </cell>
          <cell r="D13">
            <v>4.169129952788353E-2</v>
          </cell>
          <cell r="E13">
            <v>1044.9814453125</v>
          </cell>
        </row>
        <row r="14">
          <cell r="B14">
            <v>4.9311812967061996E-2</v>
          </cell>
          <cell r="C14">
            <v>1087.542724609375</v>
          </cell>
          <cell r="D14">
            <v>4.9311812967061996E-2</v>
          </cell>
          <cell r="E14">
            <v>1087.542724609375</v>
          </cell>
        </row>
        <row r="15">
          <cell r="B15">
            <v>5.7198639959096909E-2</v>
          </cell>
          <cell r="C15">
            <v>1101.305419921875</v>
          </cell>
          <cell r="D15">
            <v>5.7198639959096909E-2</v>
          </cell>
          <cell r="E15">
            <v>1101.305419921875</v>
          </cell>
        </row>
        <row r="16">
          <cell r="B16">
            <v>6.0616012662649155E-2</v>
          </cell>
          <cell r="C16">
            <v>1129.5589599609375</v>
          </cell>
          <cell r="D16">
            <v>6.0616012662649155E-2</v>
          </cell>
          <cell r="E16">
            <v>1129.5589599609375</v>
          </cell>
        </row>
      </sheetData>
      <sheetData sheetId="3" refreshError="1"/>
      <sheetData sheetId="4" refreshError="1"/>
      <sheetData sheetId="5">
        <row r="1">
          <cell r="G1" t="str">
            <v>Da</v>
          </cell>
        </row>
        <row r="2">
          <cell r="G2" t="str">
            <v>in</v>
          </cell>
        </row>
        <row r="3">
          <cell r="G3">
            <v>0</v>
          </cell>
          <cell r="I3">
            <v>0</v>
          </cell>
        </row>
        <row r="4">
          <cell r="G4">
            <v>0</v>
          </cell>
        </row>
        <row r="5">
          <cell r="G5">
            <v>-1.9967555999755859E-5</v>
          </cell>
        </row>
        <row r="6">
          <cell r="G6">
            <v>-1.1581182479858398E-4</v>
          </cell>
        </row>
        <row r="7">
          <cell r="G7">
            <v>-1.1545419692993164E-4</v>
          </cell>
        </row>
        <row r="8">
          <cell r="G8">
            <v>-5.8585405349731445E-4</v>
          </cell>
        </row>
        <row r="9">
          <cell r="G9">
            <v>-5.0282478332519531E-4</v>
          </cell>
        </row>
        <row r="10">
          <cell r="G10">
            <v>-8.3631277084350586E-4</v>
          </cell>
        </row>
        <row r="11">
          <cell r="G11">
            <v>-4.6104192733764648E-4</v>
          </cell>
        </row>
        <row r="12">
          <cell r="G12">
            <v>-3.7473440170288086E-4</v>
          </cell>
        </row>
        <row r="13">
          <cell r="G13">
            <v>-3.3318996429443359E-5</v>
          </cell>
        </row>
        <row r="14">
          <cell r="G14">
            <v>6.3663721084594727E-4</v>
          </cell>
        </row>
        <row r="15">
          <cell r="G15">
            <v>1.0104775428771973E-3</v>
          </cell>
        </row>
        <row r="16">
          <cell r="G16">
            <v>2.1622180938720703E-3</v>
          </cell>
        </row>
        <row r="17">
          <cell r="G17">
            <v>3.3630728721618652E-3</v>
          </cell>
        </row>
        <row r="18">
          <cell r="G18">
            <v>4.8903226852416992E-3</v>
          </cell>
        </row>
        <row r="19">
          <cell r="G19">
            <v>6.9251656532287598E-3</v>
          </cell>
        </row>
        <row r="20">
          <cell r="G20">
            <v>9.5093250274658203E-3</v>
          </cell>
        </row>
        <row r="21">
          <cell r="G21">
            <v>1.2458384037017822E-2</v>
          </cell>
        </row>
        <row r="22">
          <cell r="G22">
            <v>1.5332579612731934E-2</v>
          </cell>
        </row>
        <row r="23">
          <cell r="G23">
            <v>1.5332579612731934E-2</v>
          </cell>
        </row>
        <row r="24">
          <cell r="G24">
            <v>1.9096195697784424E-2</v>
          </cell>
        </row>
        <row r="25">
          <cell r="G25">
            <v>2.2822558879852295E-2</v>
          </cell>
        </row>
        <row r="26">
          <cell r="G26">
            <v>2.7554214000701904E-2</v>
          </cell>
        </row>
        <row r="27">
          <cell r="G27">
            <v>3.2142996788024902E-2</v>
          </cell>
        </row>
        <row r="28">
          <cell r="G28">
            <v>3.6941945552825928E-2</v>
          </cell>
        </row>
        <row r="29">
          <cell r="G29">
            <v>4.1998624801635742E-2</v>
          </cell>
        </row>
        <row r="30">
          <cell r="G30">
            <v>4.6609878540039063E-2</v>
          </cell>
        </row>
        <row r="31">
          <cell r="G31">
            <v>5.2666902542114258E-2</v>
          </cell>
        </row>
        <row r="32">
          <cell r="G32">
            <v>5.6545615196228027E-2</v>
          </cell>
        </row>
        <row r="33">
          <cell r="G33">
            <v>6.1497926712036133E-2</v>
          </cell>
        </row>
        <row r="34">
          <cell r="G34">
            <v>6.6709518432617188E-2</v>
          </cell>
        </row>
        <row r="35">
          <cell r="G35">
            <v>7.3995828628540039E-2</v>
          </cell>
        </row>
      </sheetData>
      <sheetData sheetId="6" refreshError="1"/>
      <sheetData sheetId="7" refreshError="1"/>
      <sheetData sheetId="8" refreshError="1"/>
      <sheetData sheetId="9">
        <row r="1">
          <cell r="A1" t="str">
            <v>Index</v>
          </cell>
          <cell r="C1" t="str">
            <v>Force</v>
          </cell>
          <cell r="D1" t="str">
            <v>Disp1</v>
          </cell>
          <cell r="E1" t="str">
            <v>Disp2</v>
          </cell>
          <cell r="F1" t="str">
            <v>Crack</v>
          </cell>
          <cell r="G1" t="str">
            <v>Da</v>
          </cell>
          <cell r="H1" t="str">
            <v>CTOD</v>
          </cell>
          <cell r="I1" t="str">
            <v>K561</v>
          </cell>
          <cell r="J1" t="str">
            <v>K1820</v>
          </cell>
          <cell r="K1" t="str">
            <v>KJ1820</v>
          </cell>
          <cell r="L1" t="str">
            <v>J1820</v>
          </cell>
        </row>
        <row r="2">
          <cell r="C2" t="str">
            <v>lbf</v>
          </cell>
          <cell r="D2" t="str">
            <v>inch</v>
          </cell>
          <cell r="E2" t="str">
            <v>inch</v>
          </cell>
          <cell r="F2" t="str">
            <v>inch</v>
          </cell>
          <cell r="G2" t="str">
            <v>inch</v>
          </cell>
          <cell r="H2" t="str">
            <v>inch</v>
          </cell>
          <cell r="I2" t="str">
            <v>ksi sqr(in)</v>
          </cell>
          <cell r="J2" t="str">
            <v>ksi sqr(in)</v>
          </cell>
          <cell r="K2" t="str">
            <v>ksi sqr(in)</v>
          </cell>
          <cell r="L2" t="str">
            <v>in-lb/in^2</v>
          </cell>
        </row>
        <row r="3">
          <cell r="A3">
            <v>12</v>
          </cell>
          <cell r="C3">
            <v>721.739990234375</v>
          </cell>
          <cell r="D3">
            <v>2.9500001110136509E-3</v>
          </cell>
          <cell r="E3">
            <v>0</v>
          </cell>
          <cell r="F3">
            <v>0.60324811935424805</v>
          </cell>
          <cell r="G3">
            <v>4.2807660065591335E-4</v>
          </cell>
          <cell r="H3">
            <v>4.417617674334906E-5</v>
          </cell>
          <cell r="I3">
            <v>22.300714492797852</v>
          </cell>
          <cell r="J3">
            <v>22.105312347412109</v>
          </cell>
          <cell r="K3">
            <v>22.190212249755859</v>
          </cell>
          <cell r="L3">
            <v>15.833535194396973</v>
          </cell>
        </row>
        <row r="4">
          <cell r="A4">
            <v>13</v>
          </cell>
          <cell r="C4">
            <v>845.6400146484375</v>
          </cell>
          <cell r="D4">
            <v>3.5220000427216291E-3</v>
          </cell>
          <cell r="E4">
            <v>0</v>
          </cell>
          <cell r="F4">
            <v>0.60268718004226685</v>
          </cell>
          <cell r="G4">
            <v>-1.3286272587720305E-4</v>
          </cell>
          <cell r="H4">
            <v>6.0603120800806209E-5</v>
          </cell>
          <cell r="I4">
            <v>26.155174255371094</v>
          </cell>
          <cell r="J4">
            <v>25.842580795288086</v>
          </cell>
          <cell r="K4">
            <v>25.990514755249023</v>
          </cell>
          <cell r="L4">
            <v>21.721246719360352</v>
          </cell>
        </row>
        <row r="5">
          <cell r="A5">
            <v>14</v>
          </cell>
          <cell r="C5">
            <v>964.04998779296875</v>
          </cell>
          <cell r="D5">
            <v>4.0939999744296074E-3</v>
          </cell>
          <cell r="E5">
            <v>0</v>
          </cell>
          <cell r="F5">
            <v>0.60219651460647583</v>
          </cell>
          <cell r="G5">
            <v>-6.2352814711630344E-4</v>
          </cell>
          <cell r="H5">
            <v>7.9597426520194858E-5</v>
          </cell>
          <cell r="I5">
            <v>29.865226745605469</v>
          </cell>
          <cell r="J5">
            <v>29.404018402099609</v>
          </cell>
          <cell r="K5">
            <v>29.786325454711914</v>
          </cell>
          <cell r="L5">
            <v>28.529148101806641</v>
          </cell>
        </row>
        <row r="6">
          <cell r="A6">
            <v>15</v>
          </cell>
          <cell r="C6">
            <v>1086.72998046875</v>
          </cell>
          <cell r="D6">
            <v>4.6709999442100525E-3</v>
          </cell>
          <cell r="E6">
            <v>0</v>
          </cell>
          <cell r="F6">
            <v>0.60251802206039429</v>
          </cell>
          <cell r="G6">
            <v>-3.0202069319784641E-4</v>
          </cell>
          <cell r="H6">
            <v>1.0097624908667058E-4</v>
          </cell>
          <cell r="I6">
            <v>33.854209899902344</v>
          </cell>
          <cell r="J6">
            <v>33.188014984130859</v>
          </cell>
          <cell r="K6">
            <v>33.548801422119141</v>
          </cell>
          <cell r="L6">
            <v>36.191699981689453</v>
          </cell>
        </row>
        <row r="7">
          <cell r="A7">
            <v>16</v>
          </cell>
          <cell r="C7">
            <v>1208.18994140625</v>
          </cell>
          <cell r="D7">
            <v>5.2430001087486744E-3</v>
          </cell>
          <cell r="E7">
            <v>0</v>
          </cell>
          <cell r="F7">
            <v>0.60173243284225464</v>
          </cell>
          <cell r="G7">
            <v>-1.0876099113374949E-3</v>
          </cell>
          <cell r="H7">
            <v>1.252217625733465E-4</v>
          </cell>
          <cell r="I7">
            <v>37.691379547119141</v>
          </cell>
          <cell r="J7">
            <v>36.782875061035156</v>
          </cell>
          <cell r="K7">
            <v>37.360038757324219</v>
          </cell>
          <cell r="L7">
            <v>44.881729125976563</v>
          </cell>
        </row>
        <row r="8">
          <cell r="A8">
            <v>17</v>
          </cell>
          <cell r="C8">
            <v>1326.5999755859375</v>
          </cell>
          <cell r="D8">
            <v>5.8269998989999294E-3</v>
          </cell>
          <cell r="E8">
            <v>0</v>
          </cell>
          <cell r="F8">
            <v>0.60264509916305542</v>
          </cell>
          <cell r="G8">
            <v>-1.7494360508862883E-4</v>
          </cell>
          <cell r="H8">
            <v>1.5162120689637959E-4</v>
          </cell>
          <cell r="I8">
            <v>41.758262634277344</v>
          </cell>
          <cell r="J8">
            <v>40.533870697021484</v>
          </cell>
          <cell r="K8">
            <v>41.109989166259766</v>
          </cell>
          <cell r="L8">
            <v>54.343761444091797</v>
          </cell>
        </row>
        <row r="9">
          <cell r="A9">
            <v>18</v>
          </cell>
          <cell r="C9">
            <v>1436.1600341796875</v>
          </cell>
          <cell r="D9">
            <v>6.36299978941679E-3</v>
          </cell>
          <cell r="E9">
            <v>0</v>
          </cell>
          <cell r="F9">
            <v>0.6025049090385437</v>
          </cell>
          <cell r="G9">
            <v>-3.1513371504843235E-4</v>
          </cell>
          <cell r="H9">
            <v>1.787015498848632E-4</v>
          </cell>
          <cell r="I9">
            <v>45.4141845703125</v>
          </cell>
          <cell r="J9">
            <v>43.857089996337891</v>
          </cell>
          <cell r="K9">
            <v>44.630477905273438</v>
          </cell>
          <cell r="L9">
            <v>64.049842834472656</v>
          </cell>
        </row>
        <row r="10">
          <cell r="A10">
            <v>19</v>
          </cell>
          <cell r="C10">
            <v>1541.43994140625</v>
          </cell>
          <cell r="D10">
            <v>6.8799997679889202E-3</v>
          </cell>
          <cell r="E10">
            <v>0</v>
          </cell>
          <cell r="F10">
            <v>0.60295069217681885</v>
          </cell>
          <cell r="G10">
            <v>1.3064940867479891E-4</v>
          </cell>
          <cell r="H10">
            <v>2.0637648412957788E-4</v>
          </cell>
          <cell r="I10">
            <v>49.102363586425781</v>
          </cell>
          <cell r="J10">
            <v>47.155284881591797</v>
          </cell>
          <cell r="K10">
            <v>47.962024688720703</v>
          </cell>
          <cell r="L10">
            <v>73.969039916992188</v>
          </cell>
        </row>
        <row r="11">
          <cell r="A11">
            <v>20</v>
          </cell>
          <cell r="C11">
            <v>1650.3900146484375</v>
          </cell>
          <cell r="D11">
            <v>7.4260002002120018E-3</v>
          </cell>
          <cell r="E11">
            <v>0</v>
          </cell>
          <cell r="F11">
            <v>0.6031528115272522</v>
          </cell>
          <cell r="G11">
            <v>3.3276877366006374E-4</v>
          </cell>
          <cell r="H11">
            <v>2.3798763868398964E-4</v>
          </cell>
          <cell r="I11">
            <v>52.938152313232422</v>
          </cell>
          <cell r="J11">
            <v>50.528717041015625</v>
          </cell>
          <cell r="K11">
            <v>51.504432678222656</v>
          </cell>
          <cell r="L11">
            <v>85.299041748046875</v>
          </cell>
        </row>
        <row r="12">
          <cell r="A12">
            <v>21</v>
          </cell>
          <cell r="C12">
            <v>1774.2900390625</v>
          </cell>
          <cell r="D12">
            <v>8.0369999632239342E-3</v>
          </cell>
          <cell r="E12">
            <v>0</v>
          </cell>
          <cell r="F12">
            <v>0.60290193557739258</v>
          </cell>
          <cell r="G12">
            <v>8.1892816524486989E-5</v>
          </cell>
          <cell r="H12">
            <v>2.7643895009532571E-4</v>
          </cell>
          <cell r="I12">
            <v>57.269374847412109</v>
          </cell>
          <cell r="J12">
            <v>54.268089294433594</v>
          </cell>
          <cell r="K12">
            <v>55.50946044921875</v>
          </cell>
          <cell r="L12">
            <v>99.080680847167969</v>
          </cell>
        </row>
        <row r="13">
          <cell r="A13">
            <v>22</v>
          </cell>
          <cell r="C13">
            <v>1903.3800048828125</v>
          </cell>
          <cell r="D13">
            <v>8.6979996412992477E-3</v>
          </cell>
          <cell r="E13">
            <v>0</v>
          </cell>
          <cell r="F13">
            <v>0.60232663154602051</v>
          </cell>
          <cell r="G13">
            <v>-4.9341120757162571E-4</v>
          </cell>
          <cell r="H13">
            <v>3.2158449175767601E-4</v>
          </cell>
          <cell r="I13">
            <v>61.782863616943359</v>
          </cell>
          <cell r="J13">
            <v>58.083938598632813</v>
          </cell>
          <cell r="K13">
            <v>59.870784759521484</v>
          </cell>
          <cell r="L13">
            <v>115.26165771484375</v>
          </cell>
        </row>
        <row r="14">
          <cell r="A14">
            <v>23</v>
          </cell>
          <cell r="C14">
            <v>2024.8399658203125</v>
          </cell>
          <cell r="D14">
            <v>9.3320002779364586E-3</v>
          </cell>
          <cell r="E14">
            <v>0</v>
          </cell>
          <cell r="F14">
            <v>0.60213565826416016</v>
          </cell>
          <cell r="G14">
            <v>-6.8438448943197727E-4</v>
          </cell>
          <cell r="H14">
            <v>3.6735401954501867E-4</v>
          </cell>
          <cell r="I14">
            <v>66.215614318847656</v>
          </cell>
          <cell r="J14">
            <v>61.743789672851563</v>
          </cell>
          <cell r="K14">
            <v>63.989658355712891</v>
          </cell>
          <cell r="L14">
            <v>131.66627502441406</v>
          </cell>
        </row>
        <row r="15">
          <cell r="A15">
            <v>24</v>
          </cell>
          <cell r="C15">
            <v>2161.8701171875</v>
          </cell>
          <cell r="D15">
            <v>1.0026999749243259E-2</v>
          </cell>
          <cell r="E15">
            <v>0</v>
          </cell>
          <cell r="F15">
            <v>0.60257792472839355</v>
          </cell>
          <cell r="G15">
            <v>-2.4211803975049406E-4</v>
          </cell>
          <cell r="H15">
            <v>4.1966480785049498E-4</v>
          </cell>
          <cell r="I15">
            <v>71.564559936523438</v>
          </cell>
          <cell r="J15">
            <v>66.037734985351563</v>
          </cell>
          <cell r="K15">
            <v>68.39410400390625</v>
          </cell>
          <cell r="L15">
            <v>150.4154052734375</v>
          </cell>
        </row>
        <row r="16">
          <cell r="A16">
            <v>25</v>
          </cell>
          <cell r="C16">
            <v>2284.239990234375</v>
          </cell>
          <cell r="D16">
            <v>1.0680000297725201E-2</v>
          </cell>
          <cell r="E16">
            <v>0</v>
          </cell>
          <cell r="F16">
            <v>0.60329079627990723</v>
          </cell>
          <cell r="G16">
            <v>4.7075352631509304E-4</v>
          </cell>
          <cell r="H16">
            <v>4.7139811795204878E-4</v>
          </cell>
          <cell r="I16">
            <v>76.619392395019531</v>
          </cell>
          <cell r="J16">
            <v>69.973114013671875</v>
          </cell>
          <cell r="K16">
            <v>72.487197875976563</v>
          </cell>
          <cell r="L16">
            <v>168.95755004882813</v>
          </cell>
        </row>
        <row r="17">
          <cell r="A17">
            <v>26</v>
          </cell>
          <cell r="C17">
            <v>2389.830078125</v>
          </cell>
          <cell r="D17">
            <v>1.1256000027060509E-2</v>
          </cell>
          <cell r="E17">
            <v>0</v>
          </cell>
          <cell r="F17">
            <v>0.60300993919372559</v>
          </cell>
          <cell r="G17">
            <v>1.8989642558153719E-4</v>
          </cell>
          <cell r="H17">
            <v>5.2135292207822204E-4</v>
          </cell>
          <cell r="I17">
            <v>80.761688232421875</v>
          </cell>
          <cell r="J17">
            <v>73.12615966796875</v>
          </cell>
          <cell r="K17">
            <v>76.231300354003906</v>
          </cell>
          <cell r="L17">
            <v>186.86225891113281</v>
          </cell>
        </row>
        <row r="18">
          <cell r="A18">
            <v>27</v>
          </cell>
          <cell r="C18">
            <v>2514.0400390625</v>
          </cell>
          <cell r="D18">
            <v>1.193500030785799E-2</v>
          </cell>
          <cell r="E18">
            <v>0</v>
          </cell>
          <cell r="F18">
            <v>0.60307431221008301</v>
          </cell>
          <cell r="G18">
            <v>2.5426945649087429E-4</v>
          </cell>
          <cell r="H18">
            <v>5.822120001539588E-4</v>
          </cell>
          <cell r="I18">
            <v>85.928268432617188</v>
          </cell>
          <cell r="J18">
            <v>76.946479797363281</v>
          </cell>
          <cell r="K18">
            <v>80.557868957519531</v>
          </cell>
          <cell r="L18">
            <v>208.67523193359375</v>
          </cell>
        </row>
        <row r="19">
          <cell r="A19">
            <v>28</v>
          </cell>
          <cell r="C19">
            <v>2607.1201171875</v>
          </cell>
          <cell r="D19">
            <v>1.2469000183045864E-2</v>
          </cell>
          <cell r="E19">
            <v>0</v>
          </cell>
          <cell r="F19">
            <v>0.60285830497741699</v>
          </cell>
          <cell r="G19">
            <v>3.8262212910922244E-5</v>
          </cell>
          <cell r="H19">
            <v>6.3299428438767791E-4</v>
          </cell>
          <cell r="I19">
            <v>89.783821105957031</v>
          </cell>
          <cell r="J19">
            <v>79.727058410644531</v>
          </cell>
          <cell r="K19">
            <v>83.9976806640625</v>
          </cell>
          <cell r="L19">
            <v>226.87651062011719</v>
          </cell>
        </row>
        <row r="20">
          <cell r="A20">
            <v>29</v>
          </cell>
          <cell r="C20">
            <v>2712.7099609375</v>
          </cell>
          <cell r="D20">
            <v>1.3059999793767929E-2</v>
          </cell>
          <cell r="E20">
            <v>0</v>
          </cell>
          <cell r="F20">
            <v>0.60308259725570679</v>
          </cell>
          <cell r="G20">
            <v>2.6255450211465359E-4</v>
          </cell>
          <cell r="H20">
            <v>6.9000624353066087E-4</v>
          </cell>
          <cell r="I20">
            <v>94.498893737792969</v>
          </cell>
          <cell r="J20">
            <v>83.029838562011719</v>
          </cell>
          <cell r="K20">
            <v>87.6988525390625</v>
          </cell>
          <cell r="L20">
            <v>247.31063842773438</v>
          </cell>
        </row>
        <row r="21">
          <cell r="A21">
            <v>30</v>
          </cell>
          <cell r="C21">
            <v>2803.9599609375</v>
          </cell>
          <cell r="D21">
            <v>1.3589000329375267E-2</v>
          </cell>
          <cell r="E21">
            <v>0</v>
          </cell>
          <cell r="F21">
            <v>0.60407900810241699</v>
          </cell>
          <cell r="G21">
            <v>1.2589653488248587E-3</v>
          </cell>
          <cell r="H21">
            <v>7.405431242659688E-4</v>
          </cell>
          <cell r="I21">
            <v>99.134361267089844</v>
          </cell>
          <cell r="J21">
            <v>86.162948608398438</v>
          </cell>
          <cell r="K21">
            <v>90.853691101074219</v>
          </cell>
          <cell r="L21">
            <v>265.4239501953125</v>
          </cell>
        </row>
        <row r="22">
          <cell r="A22">
            <v>31</v>
          </cell>
          <cell r="C22">
            <v>2896.419921875</v>
          </cell>
          <cell r="D22">
            <v>1.4154000207781792E-2</v>
          </cell>
          <cell r="E22">
            <v>0</v>
          </cell>
          <cell r="F22">
            <v>0.60297906398773193</v>
          </cell>
          <cell r="G22">
            <v>1.5902121958788484E-4</v>
          </cell>
          <cell r="H22">
            <v>8.0360285937786102E-4</v>
          </cell>
          <cell r="I22">
            <v>102.78192138671875</v>
          </cell>
          <cell r="J22">
            <v>88.61639404296875</v>
          </cell>
          <cell r="K22">
            <v>94.642921447753906</v>
          </cell>
          <cell r="L22">
            <v>288.02569580078125</v>
          </cell>
        </row>
        <row r="23">
          <cell r="A23">
            <v>32</v>
          </cell>
          <cell r="C23">
            <v>2992.860107421875</v>
          </cell>
          <cell r="D23">
            <v>1.4739999547600746E-2</v>
          </cell>
          <cell r="E23">
            <v>0</v>
          </cell>
          <cell r="F23">
            <v>0.60329979658126831</v>
          </cell>
          <cell r="G23">
            <v>4.7975382767617702E-4</v>
          </cell>
          <cell r="H23">
            <v>8.6595996981486678E-4</v>
          </cell>
          <cell r="I23">
            <v>107.53540802001953</v>
          </cell>
          <cell r="J23">
            <v>91.683525085449219</v>
          </cell>
          <cell r="K23">
            <v>98.246322631835938</v>
          </cell>
          <cell r="L23">
            <v>310.3756103515625</v>
          </cell>
        </row>
        <row r="24">
          <cell r="A24">
            <v>33</v>
          </cell>
          <cell r="C24">
            <v>3086.85009765625</v>
          </cell>
          <cell r="D24">
            <v>1.5323000028729439E-2</v>
          </cell>
          <cell r="E24">
            <v>0</v>
          </cell>
          <cell r="F24">
            <v>0.60373902320861816</v>
          </cell>
          <cell r="G24">
            <v>9.1898045502603054E-4</v>
          </cell>
          <cell r="H24">
            <v>9.2958245659247041E-4</v>
          </cell>
          <cell r="I24">
            <v>112.40719604492188</v>
          </cell>
          <cell r="J24">
            <v>94.727828979492188</v>
          </cell>
          <cell r="K24">
            <v>101.79146575927734</v>
          </cell>
          <cell r="L24">
            <v>333.17904663085938</v>
          </cell>
        </row>
        <row r="25">
          <cell r="A25">
            <v>34</v>
          </cell>
          <cell r="C25">
            <v>3179.929931640625</v>
          </cell>
          <cell r="D25">
            <v>1.5918999910354614E-2</v>
          </cell>
          <cell r="E25">
            <v>0</v>
          </cell>
          <cell r="F25">
            <v>0.60383325815200806</v>
          </cell>
          <cell r="G25">
            <v>1.0132153984159231E-3</v>
          </cell>
          <cell r="H25">
            <v>9.9815300200134516E-4</v>
          </cell>
          <cell r="I25">
            <v>117.16278839111328</v>
          </cell>
          <cell r="J25">
            <v>97.620758056640625</v>
          </cell>
          <cell r="K25">
            <v>105.47898864746094</v>
          </cell>
          <cell r="L25">
            <v>357.7559814453125</v>
          </cell>
        </row>
        <row r="26">
          <cell r="A26">
            <v>35</v>
          </cell>
          <cell r="C26">
            <v>3270.570068359375</v>
          </cell>
          <cell r="D26">
            <v>1.6538999974727631E-2</v>
          </cell>
          <cell r="E26">
            <v>0</v>
          </cell>
          <cell r="F26">
            <v>0.60396063327789307</v>
          </cell>
          <cell r="G26">
            <v>1.1405905243009329E-3</v>
          </cell>
          <cell r="H26">
            <v>1.0716172400861979E-3</v>
          </cell>
          <cell r="I26">
            <v>121.96570587158203</v>
          </cell>
          <cell r="J26">
            <v>100.45415496826172</v>
          </cell>
          <cell r="K26">
            <v>109.29171752929688</v>
          </cell>
          <cell r="L26">
            <v>384.08685302734375</v>
          </cell>
        </row>
        <row r="27">
          <cell r="A27">
            <v>36</v>
          </cell>
          <cell r="C27">
            <v>3350.830078125</v>
          </cell>
          <cell r="D27">
            <v>1.7075000330805779E-2</v>
          </cell>
          <cell r="E27">
            <v>0</v>
          </cell>
          <cell r="F27">
            <v>0.60355180501937866</v>
          </cell>
          <cell r="G27">
            <v>7.3176226578652859E-4</v>
          </cell>
          <cell r="H27">
            <v>1.1391983134672046E-3</v>
          </cell>
          <cell r="I27">
            <v>125.93309020996094</v>
          </cell>
          <cell r="J27">
            <v>102.75231170654297</v>
          </cell>
          <cell r="K27">
            <v>112.68524932861328</v>
          </cell>
          <cell r="L27">
            <v>408.30914306640625</v>
          </cell>
        </row>
        <row r="28">
          <cell r="A28">
            <v>37</v>
          </cell>
          <cell r="C28">
            <v>3429.570068359375</v>
          </cell>
          <cell r="D28">
            <v>1.7650999128818512E-2</v>
          </cell>
          <cell r="E28">
            <v>0</v>
          </cell>
          <cell r="F28">
            <v>0.60429775714874268</v>
          </cell>
          <cell r="G28">
            <v>1.4777143951505423E-3</v>
          </cell>
          <cell r="H28">
            <v>1.2078911531716585E-3</v>
          </cell>
          <cell r="I28">
            <v>130.869384765625</v>
          </cell>
          <cell r="J28">
            <v>105.47904968261719</v>
          </cell>
          <cell r="K28">
            <v>116.03293609619141</v>
          </cell>
          <cell r="L28">
            <v>432.92987060546875</v>
          </cell>
        </row>
        <row r="29">
          <cell r="A29">
            <v>38</v>
          </cell>
          <cell r="C29">
            <v>3528.43994140625</v>
          </cell>
          <cell r="D29">
            <v>1.8357999622821808E-2</v>
          </cell>
          <cell r="E29">
            <v>0</v>
          </cell>
          <cell r="F29">
            <v>0.60425913333892822</v>
          </cell>
          <cell r="G29">
            <v>1.4390905853360891E-3</v>
          </cell>
          <cell r="H29">
            <v>1.2993672862648964E-3</v>
          </cell>
          <cell r="I29">
            <v>136.45817565917969</v>
          </cell>
          <cell r="J29">
            <v>108.50321197509766</v>
          </cell>
          <cell r="K29">
            <v>120.34646606445313</v>
          </cell>
          <cell r="L29">
            <v>465.716552734375</v>
          </cell>
        </row>
        <row r="30">
          <cell r="A30">
            <v>39</v>
          </cell>
          <cell r="C30">
            <v>3601.3798828125</v>
          </cell>
          <cell r="D30">
            <v>1.8937999382615089E-2</v>
          </cell>
          <cell r="E30">
            <v>0</v>
          </cell>
          <cell r="F30">
            <v>0.60464280843734741</v>
          </cell>
          <cell r="G30">
            <v>1.8227656837552786E-3</v>
          </cell>
          <cell r="H30">
            <v>1.3741703005507588E-3</v>
          </cell>
          <cell r="I30">
            <v>141.10099792480469</v>
          </cell>
          <cell r="J30">
            <v>110.91539764404297</v>
          </cell>
          <cell r="K30">
            <v>123.76210021972656</v>
          </cell>
          <cell r="L30">
            <v>492.52731323242188</v>
          </cell>
        </row>
        <row r="31">
          <cell r="A31">
            <v>40</v>
          </cell>
          <cell r="C31">
            <v>3678.889892578125</v>
          </cell>
          <cell r="D31">
            <v>1.9567999988794327E-2</v>
          </cell>
          <cell r="E31">
            <v>0</v>
          </cell>
          <cell r="F31">
            <v>0.6048998236656189</v>
          </cell>
          <cell r="G31">
            <v>2.079780912026763E-3</v>
          </cell>
          <cell r="H31">
            <v>1.4581269351765513E-3</v>
          </cell>
          <cell r="I31">
            <v>146.05349731445313</v>
          </cell>
          <cell r="J31">
            <v>113.41862487792969</v>
          </cell>
          <cell r="K31">
            <v>127.48675537109375</v>
          </cell>
          <cell r="L31">
            <v>522.618896484375</v>
          </cell>
        </row>
        <row r="32">
          <cell r="A32">
            <v>41</v>
          </cell>
          <cell r="C32">
            <v>3764.949951171875</v>
          </cell>
          <cell r="D32">
            <v>2.022399939596653E-2</v>
          </cell>
          <cell r="E32">
            <v>0</v>
          </cell>
          <cell r="F32">
            <v>0.60506081581115723</v>
          </cell>
          <cell r="G32">
            <v>2.240773057565093E-3</v>
          </cell>
          <cell r="H32">
            <v>1.548002241179347E-3</v>
          </cell>
          <cell r="I32">
            <v>151.61676025390625</v>
          </cell>
          <cell r="J32">
            <v>116.14628601074219</v>
          </cell>
          <cell r="K32">
            <v>131.35699462890625</v>
          </cell>
          <cell r="L32">
            <v>554.831787109375</v>
          </cell>
        </row>
        <row r="33">
          <cell r="A33">
            <v>42</v>
          </cell>
          <cell r="C33">
            <v>3836.06005859375</v>
          </cell>
          <cell r="D33">
            <v>2.0881999284029007E-2</v>
          </cell>
          <cell r="E33">
            <v>0</v>
          </cell>
          <cell r="F33">
            <v>0.60532057285308838</v>
          </cell>
          <cell r="G33">
            <v>2.5005300994962454E-3</v>
          </cell>
          <cell r="H33">
            <v>1.6398967709392309E-3</v>
          </cell>
          <cell r="I33">
            <v>156.51193237304688</v>
          </cell>
          <cell r="J33">
            <v>118.462646484375</v>
          </cell>
          <cell r="K33">
            <v>135.19967651367188</v>
          </cell>
          <cell r="L33">
            <v>587.7684326171875</v>
          </cell>
        </row>
        <row r="34">
          <cell r="A34">
            <v>43</v>
          </cell>
          <cell r="C34">
            <v>3894.35009765625</v>
          </cell>
          <cell r="D34">
            <v>2.1521000191569328E-2</v>
          </cell>
          <cell r="E34">
            <v>0</v>
          </cell>
          <cell r="F34">
            <v>0.60560089349746704</v>
          </cell>
          <cell r="G34">
            <v>2.7808507438749075E-3</v>
          </cell>
          <cell r="H34">
            <v>1.7308142269030213E-3</v>
          </cell>
          <cell r="I34">
            <v>160.72607421875</v>
          </cell>
          <cell r="J34">
            <v>120.39732360839844</v>
          </cell>
          <cell r="K34">
            <v>138.89692687988281</v>
          </cell>
          <cell r="L34">
            <v>620.35491943359375</v>
          </cell>
        </row>
        <row r="35">
          <cell r="A35">
            <v>44</v>
          </cell>
          <cell r="C35">
            <v>3947.139892578125</v>
          </cell>
          <cell r="D35">
            <v>2.2199999541044235E-2</v>
          </cell>
          <cell r="E35">
            <v>0</v>
          </cell>
          <cell r="F35">
            <v>0.60677498579025269</v>
          </cell>
          <cell r="G35">
            <v>3.9549428038299084E-3</v>
          </cell>
          <cell r="H35">
            <v>1.8226217944175005E-3</v>
          </cell>
          <cell r="I35">
            <v>165.798583984375</v>
          </cell>
          <cell r="J35">
            <v>122.60368347167969</v>
          </cell>
          <cell r="K35">
            <v>142.5330810546875</v>
          </cell>
          <cell r="L35">
            <v>653.2603759765625</v>
          </cell>
        </row>
        <row r="36">
          <cell r="A36">
            <v>45</v>
          </cell>
          <cell r="C36">
            <v>3984.070068359375</v>
          </cell>
          <cell r="D36">
            <v>2.2900000214576721E-2</v>
          </cell>
          <cell r="E36">
            <v>0</v>
          </cell>
          <cell r="F36">
            <v>0.60785382986068726</v>
          </cell>
          <cell r="G36">
            <v>5.0337868742644787E-3</v>
          </cell>
          <cell r="H36">
            <v>1.9199032103642821E-3</v>
          </cell>
          <cell r="I36">
            <v>169.81636047363281</v>
          </cell>
          <cell r="J36">
            <v>124.28749847412109</v>
          </cell>
          <cell r="K36">
            <v>146.28744506835938</v>
          </cell>
          <cell r="L36">
            <v>688.1278076171875</v>
          </cell>
        </row>
        <row r="37">
          <cell r="A37">
            <v>46</v>
          </cell>
          <cell r="C37">
            <v>4004.820068359375</v>
          </cell>
          <cell r="D37">
            <v>2.3592999204993248E-2</v>
          </cell>
          <cell r="E37">
            <v>0</v>
          </cell>
          <cell r="F37">
            <v>0.60939860343933105</v>
          </cell>
          <cell r="G37">
            <v>6.5785604529082775E-3</v>
          </cell>
          <cell r="H37">
            <v>2.0135063678026199E-3</v>
          </cell>
          <cell r="I37">
            <v>173.41410827636719</v>
          </cell>
          <cell r="J37">
            <v>125.71434020996094</v>
          </cell>
          <cell r="K37">
            <v>149.81106567382813</v>
          </cell>
          <cell r="L37">
            <v>721.6768798828125</v>
          </cell>
        </row>
        <row r="38">
          <cell r="A38">
            <v>47</v>
          </cell>
          <cell r="C38">
            <v>4025.570068359375</v>
          </cell>
          <cell r="D38">
            <v>2.4251999333500862E-2</v>
          </cell>
          <cell r="E38">
            <v>0</v>
          </cell>
          <cell r="F38">
            <v>0.61179167032241821</v>
          </cell>
          <cell r="G38">
            <v>8.971627801656723E-3</v>
          </cell>
          <cell r="H38">
            <v>2.0949533209204674E-3</v>
          </cell>
          <cell r="I38">
            <v>178.36886596679688</v>
          </cell>
          <cell r="J38">
            <v>127.59601593017578</v>
          </cell>
          <cell r="K38">
            <v>152.81098937988281</v>
          </cell>
          <cell r="L38">
            <v>750.868896484375</v>
          </cell>
        </row>
        <row r="39">
          <cell r="A39">
            <v>48</v>
          </cell>
          <cell r="C39">
            <v>4029.239990234375</v>
          </cell>
          <cell r="D39">
            <v>2.4932999163866043E-2</v>
          </cell>
          <cell r="E39">
            <v>0</v>
          </cell>
          <cell r="F39">
            <v>0.61385440826416016</v>
          </cell>
          <cell r="G39">
            <v>1.1034365743398666E-2</v>
          </cell>
          <cell r="H39">
            <v>2.1834471262991428E-3</v>
          </cell>
          <cell r="I39">
            <v>181.71337890625</v>
          </cell>
          <cell r="J39">
            <v>128.79025268554688</v>
          </cell>
          <cell r="K39">
            <v>156.00508117675781</v>
          </cell>
          <cell r="L39">
            <v>782.586669921875</v>
          </cell>
        </row>
        <row r="40">
          <cell r="A40">
            <v>49</v>
          </cell>
          <cell r="C40">
            <v>4051.510009765625</v>
          </cell>
          <cell r="D40">
            <v>2.5604000315070152E-2</v>
          </cell>
          <cell r="E40">
            <v>0</v>
          </cell>
          <cell r="F40">
            <v>0.61454689502716064</v>
          </cell>
          <cell r="G40">
            <v>1.1726852506399155E-2</v>
          </cell>
          <cell r="H40">
            <v>2.282390370965004E-3</v>
          </cell>
          <cell r="I40">
            <v>184.57456970214844</v>
          </cell>
          <cell r="J40">
            <v>129.86944580078125</v>
          </cell>
          <cell r="K40">
            <v>159.5006103515625</v>
          </cell>
          <cell r="L40">
            <v>818.0496826171875</v>
          </cell>
        </row>
        <row r="41">
          <cell r="A41">
            <v>50</v>
          </cell>
          <cell r="C41">
            <v>4063.719970703125</v>
          </cell>
          <cell r="D41">
            <v>2.627900056540966E-2</v>
          </cell>
          <cell r="E41">
            <v>0</v>
          </cell>
          <cell r="F41">
            <v>0.61751174926757813</v>
          </cell>
          <cell r="G41">
            <v>1.4691706746816635E-2</v>
          </cell>
          <cell r="H41">
            <v>2.3609003983438015E-3</v>
          </cell>
          <cell r="I41">
            <v>190.35823059082031</v>
          </cell>
          <cell r="J41">
            <v>131.85856628417969</v>
          </cell>
          <cell r="K41">
            <v>162.22068786621094</v>
          </cell>
          <cell r="L41">
            <v>846.1890869140625</v>
          </cell>
        </row>
        <row r="42">
          <cell r="A42">
            <v>51</v>
          </cell>
          <cell r="C42">
            <v>4048.77001953125</v>
          </cell>
          <cell r="D42">
            <v>2.6921000331640244E-2</v>
          </cell>
          <cell r="E42">
            <v>0</v>
          </cell>
          <cell r="F42">
            <v>0.61846500635147095</v>
          </cell>
          <cell r="G42">
            <v>1.5644963830709457E-2</v>
          </cell>
          <cell r="H42">
            <v>2.454942325130105E-3</v>
          </cell>
          <cell r="I42">
            <v>190.65711975097656</v>
          </cell>
          <cell r="J42">
            <v>131.892333984375</v>
          </cell>
          <cell r="K42">
            <v>165.42001342773438</v>
          </cell>
          <cell r="L42">
            <v>879.8953857421875</v>
          </cell>
        </row>
        <row r="43">
          <cell r="A43">
            <v>52</v>
          </cell>
          <cell r="C43">
            <v>4064.639892578125</v>
          </cell>
          <cell r="D43">
            <v>2.770099975168705E-2</v>
          </cell>
          <cell r="E43">
            <v>0</v>
          </cell>
          <cell r="F43">
            <v>0.6218915581703186</v>
          </cell>
          <cell r="G43">
            <v>1.9071515649557114E-2</v>
          </cell>
          <cell r="H43">
            <v>2.5442133191972971E-3</v>
          </cell>
          <cell r="I43">
            <v>198.01628112792969</v>
          </cell>
          <cell r="J43">
            <v>134.31085205078125</v>
          </cell>
          <cell r="K43">
            <v>168.40080261230469</v>
          </cell>
          <cell r="L43">
            <v>911.8917236328125</v>
          </cell>
        </row>
        <row r="44">
          <cell r="A44">
            <v>53</v>
          </cell>
          <cell r="C44">
            <v>3983.14990234375</v>
          </cell>
          <cell r="D44">
            <v>2.8513999655842781E-2</v>
          </cell>
          <cell r="E44">
            <v>0</v>
          </cell>
          <cell r="F44">
            <v>0.62587600946426392</v>
          </cell>
          <cell r="G44">
            <v>2.3055966943502426E-2</v>
          </cell>
          <cell r="H44">
            <v>2.6356407906860113E-3</v>
          </cell>
          <cell r="I44">
            <v>197.69038391113281</v>
          </cell>
          <cell r="J44">
            <v>133.842529296875</v>
          </cell>
          <cell r="K44">
            <v>171.39987182617188</v>
          </cell>
          <cell r="L44">
            <v>944.66094970703125</v>
          </cell>
        </row>
        <row r="45">
          <cell r="A45">
            <v>54</v>
          </cell>
          <cell r="C45">
            <v>3890.080078125</v>
          </cell>
          <cell r="D45">
            <v>2.9247000813484192E-2</v>
          </cell>
          <cell r="E45">
            <v>0</v>
          </cell>
          <cell r="F45">
            <v>0.63049030303955078</v>
          </cell>
          <cell r="G45">
            <v>2.7670260518789291E-2</v>
          </cell>
          <cell r="H45">
            <v>2.7049791533499956E-3</v>
          </cell>
          <cell r="I45">
            <v>197.3465576171875</v>
          </cell>
          <cell r="J45">
            <v>133.30964660644531</v>
          </cell>
          <cell r="K45">
            <v>173.63983154296875</v>
          </cell>
          <cell r="L45">
            <v>969.51312255859375</v>
          </cell>
        </row>
        <row r="46">
          <cell r="A46">
            <v>55</v>
          </cell>
          <cell r="C46">
            <v>3867.489990234375</v>
          </cell>
          <cell r="D46">
            <v>3.0042000114917755E-2</v>
          </cell>
          <cell r="E46">
            <v>0</v>
          </cell>
          <cell r="F46">
            <v>0.63459610939025879</v>
          </cell>
          <cell r="G46">
            <v>3.1776066869497299E-2</v>
          </cell>
          <cell r="H46">
            <v>2.7847881428897381E-3</v>
          </cell>
          <cell r="I46">
            <v>202.97203063964844</v>
          </cell>
          <cell r="J46">
            <v>134.90420532226563</v>
          </cell>
          <cell r="K46">
            <v>176.18278503417969</v>
          </cell>
          <cell r="L46">
            <v>998.1180419921875</v>
          </cell>
        </row>
        <row r="47">
          <cell r="A47">
            <v>56</v>
          </cell>
          <cell r="C47">
            <v>3778.3798828125</v>
          </cell>
          <cell r="D47">
            <v>3.075999952852726E-2</v>
          </cell>
          <cell r="E47">
            <v>0</v>
          </cell>
          <cell r="F47">
            <v>0.63822799921035767</v>
          </cell>
          <cell r="G47">
            <v>3.5407956689596176E-2</v>
          </cell>
          <cell r="H47">
            <v>2.8592220041900873E-3</v>
          </cell>
          <cell r="I47">
            <v>201.04084777832031</v>
          </cell>
          <cell r="J47">
            <v>133.901611328125</v>
          </cell>
          <cell r="K47">
            <v>178.52183532714844</v>
          </cell>
          <cell r="L47">
            <v>1024.7965087890625</v>
          </cell>
        </row>
        <row r="48">
          <cell r="A48">
            <v>57</v>
          </cell>
          <cell r="C48">
            <v>3688.969970703125</v>
          </cell>
          <cell r="D48">
            <v>3.1585998833179474E-2</v>
          </cell>
          <cell r="E48">
            <v>0</v>
          </cell>
          <cell r="F48">
            <v>0.64451134204864502</v>
          </cell>
          <cell r="G48">
            <v>4.169129952788353E-2</v>
          </cell>
          <cell r="H48">
            <v>2.9155388474464417E-3</v>
          </cell>
          <cell r="I48">
            <v>204.31588745117188</v>
          </cell>
          <cell r="J48">
            <v>134.42298889160156</v>
          </cell>
          <cell r="K48">
            <v>180.27139282226563</v>
          </cell>
          <cell r="L48">
            <v>1044.9814453125</v>
          </cell>
        </row>
        <row r="49">
          <cell r="A49">
            <v>58</v>
          </cell>
          <cell r="C49">
            <v>3525.699951171875</v>
          </cell>
          <cell r="D49">
            <v>3.2937999814748764E-2</v>
          </cell>
          <cell r="E49">
            <v>0</v>
          </cell>
          <cell r="F49">
            <v>0.65213185548782349</v>
          </cell>
          <cell r="G49">
            <v>4.9311812967061996E-2</v>
          </cell>
          <cell r="H49">
            <v>3.0342864338308573E-3</v>
          </cell>
          <cell r="I49">
            <v>202.20271301269531</v>
          </cell>
          <cell r="J49">
            <v>132.98040771484375</v>
          </cell>
          <cell r="K49">
            <v>183.90591430664063</v>
          </cell>
          <cell r="L49">
            <v>1087.542724609375</v>
          </cell>
        </row>
        <row r="50">
          <cell r="A50">
            <v>59</v>
          </cell>
          <cell r="C50">
            <v>3402.409912109375</v>
          </cell>
          <cell r="D50">
            <v>3.3842001110315323E-2</v>
          </cell>
          <cell r="E50">
            <v>0</v>
          </cell>
          <cell r="F50">
            <v>0.6600186824798584</v>
          </cell>
          <cell r="G50">
            <v>5.7198639959096909E-2</v>
          </cell>
          <cell r="H50">
            <v>3.0726848635822535E-3</v>
          </cell>
          <cell r="I50">
            <v>204.92913818359375</v>
          </cell>
          <cell r="J50">
            <v>133.10708618164063</v>
          </cell>
          <cell r="K50">
            <v>185.06590270996094</v>
          </cell>
          <cell r="L50">
            <v>1101.305419921875</v>
          </cell>
        </row>
        <row r="51">
          <cell r="A51">
            <v>60</v>
          </cell>
          <cell r="C51">
            <v>3348.68994140625</v>
          </cell>
          <cell r="D51">
            <v>3.4662000834941864E-2</v>
          </cell>
          <cell r="E51">
            <v>0</v>
          </cell>
          <cell r="F51">
            <v>0.66343605518341064</v>
          </cell>
          <cell r="G51">
            <v>6.0616012662649155E-2</v>
          </cell>
          <cell r="H51">
            <v>3.1515134032815695E-3</v>
          </cell>
          <cell r="I51">
            <v>206.07452392578125</v>
          </cell>
          <cell r="J51">
            <v>133.13418579101563</v>
          </cell>
          <cell r="K51">
            <v>187.42475891113281</v>
          </cell>
          <cell r="L51">
            <v>1129.5589599609375</v>
          </cell>
        </row>
        <row r="52">
          <cell r="A52">
            <v>61</v>
          </cell>
          <cell r="C52">
            <v>3315.1298828125</v>
          </cell>
          <cell r="D52">
            <v>3.5424999892711639E-2</v>
          </cell>
          <cell r="E52">
            <v>0</v>
          </cell>
          <cell r="F52">
            <v>0.66651755571365356</v>
          </cell>
          <cell r="G52">
            <v>6.3697509467601776E-2</v>
          </cell>
          <cell r="H52">
            <v>3.2236592378467321E-3</v>
          </cell>
          <cell r="I52">
            <v>208.99853515625</v>
          </cell>
          <cell r="J52">
            <v>133.74951171875</v>
          </cell>
          <cell r="K52">
            <v>189.55793762207031</v>
          </cell>
          <cell r="L52">
            <v>1155.4173583984375</v>
          </cell>
        </row>
        <row r="53">
          <cell r="A53">
            <v>62</v>
          </cell>
          <cell r="C53">
            <v>3172.610107421875</v>
          </cell>
          <cell r="D53">
            <v>3.6550998687744141E-2</v>
          </cell>
          <cell r="E53">
            <v>0</v>
          </cell>
          <cell r="F53">
            <v>0.67298471927642822</v>
          </cell>
          <cell r="G53">
            <v>7.0164673030376434E-2</v>
          </cell>
          <cell r="H53">
            <v>3.3035313244909048E-3</v>
          </cell>
          <cell r="I53">
            <v>205.80206298828125</v>
          </cell>
          <cell r="J53">
            <v>132.06797790527344</v>
          </cell>
          <cell r="K53">
            <v>191.89189147949219</v>
          </cell>
          <cell r="L53">
            <v>1184.044921875</v>
          </cell>
        </row>
        <row r="54">
          <cell r="A54">
            <v>63</v>
          </cell>
          <cell r="C54">
            <v>2936.7099609375</v>
          </cell>
          <cell r="D54">
            <v>3.7831000983715057E-2</v>
          </cell>
          <cell r="E54">
            <v>0</v>
          </cell>
          <cell r="F54">
            <v>0.68599396944046021</v>
          </cell>
          <cell r="G54">
            <v>8.3173923194408417E-2</v>
          </cell>
          <cell r="H54">
            <v>3.3052633516490459E-3</v>
          </cell>
          <cell r="I54">
            <v>205.02127075195313</v>
          </cell>
          <cell r="J54">
            <v>130.45344543457031</v>
          </cell>
          <cell r="K54">
            <v>191.94218444824219</v>
          </cell>
          <cell r="L54">
            <v>1184.665771484375</v>
          </cell>
        </row>
      </sheetData>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Input"/>
      <sheetName val="E399 Cover Page"/>
      <sheetName val="Load Disp"/>
      <sheetName val="Load Time"/>
      <sheetName val="K-plot"/>
      <sheetName val="Timed Data"/>
      <sheetName val="Reg Data"/>
      <sheetName val="Variables"/>
    </sheetNames>
    <sheetDataSet>
      <sheetData sheetId="0">
        <row r="11">
          <cell r="J11">
            <v>1.3014992570738286E-3</v>
          </cell>
        </row>
      </sheetData>
      <sheetData sheetId="1" refreshError="1"/>
      <sheetData sheetId="2" refreshError="1"/>
      <sheetData sheetId="3" refreshError="1"/>
      <sheetData sheetId="4" refreshError="1"/>
      <sheetData sheetId="5">
        <row r="1">
          <cell r="A1" t="str">
            <v>Time (sec)</v>
          </cell>
          <cell r="B1" t="str">
            <v>Load</v>
          </cell>
          <cell r="C1" t="str">
            <v>disp1</v>
          </cell>
        </row>
        <row r="2">
          <cell r="A2">
            <v>1.7000000476837158</v>
          </cell>
          <cell r="B2">
            <v>-0.61000001430511475</v>
          </cell>
          <cell r="C2">
            <v>0</v>
          </cell>
        </row>
        <row r="3">
          <cell r="A3">
            <v>0.10000000149011612</v>
          </cell>
          <cell r="B3">
            <v>40.279998779296875</v>
          </cell>
          <cell r="C3">
            <v>0</v>
          </cell>
        </row>
        <row r="4">
          <cell r="A4">
            <v>3.0999999046325684</v>
          </cell>
          <cell r="B4">
            <v>55.240001678466797</v>
          </cell>
          <cell r="C4">
            <v>3.4000000596279278E-5</v>
          </cell>
        </row>
        <row r="5">
          <cell r="A5">
            <v>3.5999999046325684</v>
          </cell>
          <cell r="B5">
            <v>78.739997863769531</v>
          </cell>
          <cell r="C5">
            <v>1.1600000289035961E-4</v>
          </cell>
        </row>
        <row r="6">
          <cell r="A6">
            <v>4.0999999046325684</v>
          </cell>
          <cell r="B6">
            <v>97.959999084472656</v>
          </cell>
          <cell r="C6">
            <v>1.9500000053085387E-4</v>
          </cell>
        </row>
        <row r="7">
          <cell r="A7">
            <v>4.5999999046325684</v>
          </cell>
          <cell r="B7">
            <v>128.16999816894531</v>
          </cell>
          <cell r="C7">
            <v>2.9100000392645597E-4</v>
          </cell>
        </row>
        <row r="8">
          <cell r="A8">
            <v>5.0999999046325684</v>
          </cell>
          <cell r="B8">
            <v>153.80999755859375</v>
          </cell>
          <cell r="C8">
            <v>3.5700001171790063E-4</v>
          </cell>
        </row>
        <row r="9">
          <cell r="A9">
            <v>5.5999999046325684</v>
          </cell>
          <cell r="B9">
            <v>187.99000549316406</v>
          </cell>
          <cell r="C9">
            <v>5.0700001884251833E-4</v>
          </cell>
        </row>
        <row r="10">
          <cell r="A10">
            <v>6.0999999046325684</v>
          </cell>
          <cell r="B10">
            <v>222.47000122070313</v>
          </cell>
          <cell r="C10">
            <v>6.2100001377984881E-4</v>
          </cell>
        </row>
        <row r="11">
          <cell r="A11">
            <v>6.5999999046325684</v>
          </cell>
          <cell r="B11">
            <v>249.94000244140625</v>
          </cell>
          <cell r="C11">
            <v>7.3400000110268593E-4</v>
          </cell>
        </row>
        <row r="12">
          <cell r="A12">
            <v>7.0999999046325684</v>
          </cell>
          <cell r="B12">
            <v>284.73001098632813</v>
          </cell>
          <cell r="C12">
            <v>8.7300001177936792E-4</v>
          </cell>
        </row>
        <row r="13">
          <cell r="A13">
            <v>7.5999999046325684</v>
          </cell>
          <cell r="B13">
            <v>317.989990234375</v>
          </cell>
          <cell r="C13">
            <v>1.0270000202581286E-3</v>
          </cell>
        </row>
        <row r="14">
          <cell r="A14">
            <v>8.1000003814697266</v>
          </cell>
          <cell r="B14">
            <v>353.70001220703125</v>
          </cell>
          <cell r="C14">
            <v>1.167000038549304E-3</v>
          </cell>
        </row>
        <row r="15">
          <cell r="A15">
            <v>8.6000003814697266</v>
          </cell>
          <cell r="B15">
            <v>390.32000732421875</v>
          </cell>
          <cell r="C15">
            <v>1.3439999893307686E-3</v>
          </cell>
        </row>
        <row r="16">
          <cell r="A16">
            <v>9.1000003814697266</v>
          </cell>
          <cell r="B16">
            <v>422.05999755859375</v>
          </cell>
          <cell r="C16">
            <v>1.4830000000074506E-3</v>
          </cell>
        </row>
        <row r="17">
          <cell r="A17">
            <v>9.6000003814697266</v>
          </cell>
          <cell r="B17">
            <v>457.760009765625</v>
          </cell>
          <cell r="C17">
            <v>1.6570000443607569E-3</v>
          </cell>
        </row>
        <row r="18">
          <cell r="A18">
            <v>10.100000381469727</v>
          </cell>
          <cell r="B18">
            <v>494.3800048828125</v>
          </cell>
          <cell r="C18">
            <v>1.8309999722987413E-3</v>
          </cell>
        </row>
        <row r="19">
          <cell r="A19">
            <v>10.600000381469727</v>
          </cell>
          <cell r="B19">
            <v>530.4000244140625</v>
          </cell>
          <cell r="C19">
            <v>1.9970000721514225E-3</v>
          </cell>
        </row>
        <row r="20">
          <cell r="A20">
            <v>11.100000381469727</v>
          </cell>
          <cell r="B20">
            <v>567.32000732421875</v>
          </cell>
          <cell r="C20">
            <v>2.1619999315589666E-3</v>
          </cell>
        </row>
        <row r="21">
          <cell r="A21">
            <v>11.600000381469727</v>
          </cell>
          <cell r="B21">
            <v>607.6099853515625</v>
          </cell>
          <cell r="C21">
            <v>2.3590000346302986E-3</v>
          </cell>
        </row>
        <row r="22">
          <cell r="A22">
            <v>12.100000381469727</v>
          </cell>
          <cell r="B22">
            <v>646.66998291015625</v>
          </cell>
          <cell r="C22">
            <v>2.5329999625682831E-3</v>
          </cell>
        </row>
        <row r="23">
          <cell r="A23">
            <v>12.600000381469727</v>
          </cell>
          <cell r="B23">
            <v>686.95001220703125</v>
          </cell>
          <cell r="C23">
            <v>2.7159999590367079E-3</v>
          </cell>
        </row>
        <row r="24">
          <cell r="A24">
            <v>13.100000381469727</v>
          </cell>
          <cell r="B24">
            <v>718.69000244140625</v>
          </cell>
          <cell r="C24">
            <v>2.8810000512748957E-3</v>
          </cell>
        </row>
        <row r="25">
          <cell r="A25">
            <v>18.100000381469727</v>
          </cell>
          <cell r="B25">
            <v>729.3699951171875</v>
          </cell>
          <cell r="C25">
            <v>2.9140000697225332E-3</v>
          </cell>
        </row>
        <row r="26">
          <cell r="A26">
            <v>23.100000381469727</v>
          </cell>
          <cell r="B26">
            <v>730.59002685546875</v>
          </cell>
          <cell r="C26">
            <v>2.9299999587237835E-3</v>
          </cell>
        </row>
        <row r="27">
          <cell r="A27">
            <v>42.099998474121094</v>
          </cell>
          <cell r="B27">
            <v>733.6400146484375</v>
          </cell>
          <cell r="C27">
            <v>2.9390000272542238E-3</v>
          </cell>
        </row>
        <row r="28">
          <cell r="A28">
            <v>58.599998474121094</v>
          </cell>
          <cell r="B28">
            <v>739.44000244140625</v>
          </cell>
          <cell r="C28">
            <v>2.9539999086409807E-3</v>
          </cell>
        </row>
        <row r="29">
          <cell r="A29">
            <v>63.599998474121094</v>
          </cell>
          <cell r="B29">
            <v>738.219970703125</v>
          </cell>
          <cell r="C29">
            <v>2.9690000228583813E-3</v>
          </cell>
        </row>
        <row r="30">
          <cell r="A30">
            <v>118.59999847412109</v>
          </cell>
          <cell r="B30">
            <v>745.239990234375</v>
          </cell>
          <cell r="C30">
            <v>3.0010000336915255E-3</v>
          </cell>
        </row>
        <row r="31">
          <cell r="A31">
            <v>192.60000610351563</v>
          </cell>
          <cell r="B31">
            <v>745.8499755859375</v>
          </cell>
          <cell r="C31">
            <v>3.0040000565350056E-3</v>
          </cell>
        </row>
        <row r="32">
          <cell r="A32">
            <v>197.60000610351563</v>
          </cell>
          <cell r="B32">
            <v>747.3800048828125</v>
          </cell>
          <cell r="C32">
            <v>3.0040000565350056E-3</v>
          </cell>
        </row>
        <row r="33">
          <cell r="A33">
            <v>248.60000610351563</v>
          </cell>
          <cell r="B33">
            <v>762.33001708984375</v>
          </cell>
          <cell r="C33">
            <v>3.0489999335259199E-3</v>
          </cell>
        </row>
        <row r="34">
          <cell r="A34">
            <v>249.10000610351563</v>
          </cell>
          <cell r="B34">
            <v>800.16998291015625</v>
          </cell>
          <cell r="C34">
            <v>3.2420000061392784E-3</v>
          </cell>
        </row>
        <row r="35">
          <cell r="A35">
            <v>249.60000610351563</v>
          </cell>
          <cell r="B35">
            <v>852.3599853515625</v>
          </cell>
          <cell r="C35">
            <v>3.4940000623464584E-3</v>
          </cell>
        </row>
        <row r="36">
          <cell r="A36">
            <v>260.10000610351563</v>
          </cell>
          <cell r="B36">
            <v>867.6099853515625</v>
          </cell>
          <cell r="C36">
            <v>3.5659999120980501E-3</v>
          </cell>
        </row>
        <row r="37">
          <cell r="A37">
            <v>260.60000610351563</v>
          </cell>
          <cell r="B37">
            <v>911.55999755859375</v>
          </cell>
          <cell r="C37">
            <v>3.7700000684708357E-3</v>
          </cell>
        </row>
        <row r="38">
          <cell r="A38">
            <v>261.10000610351563</v>
          </cell>
          <cell r="B38">
            <v>950.32000732421875</v>
          </cell>
          <cell r="C38">
            <v>3.9539998397231102E-3</v>
          </cell>
        </row>
        <row r="39">
          <cell r="A39">
            <v>271.60000610351563</v>
          </cell>
          <cell r="B39">
            <v>986.6300048828125</v>
          </cell>
          <cell r="C39">
            <v>4.1470001451671124E-3</v>
          </cell>
        </row>
        <row r="40">
          <cell r="A40">
            <v>272.10000610351563</v>
          </cell>
          <cell r="B40">
            <v>1027.530029296875</v>
          </cell>
          <cell r="C40">
            <v>4.3379999697208405E-3</v>
          </cell>
        </row>
        <row r="41">
          <cell r="A41">
            <v>272.60000610351563</v>
          </cell>
          <cell r="B41">
            <v>1069.949951171875</v>
          </cell>
          <cell r="C41">
            <v>4.5380000956356525E-3</v>
          </cell>
        </row>
        <row r="42">
          <cell r="A42">
            <v>282.60000610351563</v>
          </cell>
          <cell r="B42">
            <v>1093.75</v>
          </cell>
          <cell r="C42">
            <v>4.6600000932812691E-3</v>
          </cell>
        </row>
        <row r="43">
          <cell r="A43">
            <v>283.10000610351563</v>
          </cell>
          <cell r="B43">
            <v>1143.489990234375</v>
          </cell>
          <cell r="C43">
            <v>4.8919999971985817E-3</v>
          </cell>
        </row>
        <row r="44">
          <cell r="A44">
            <v>283.60000610351563</v>
          </cell>
          <cell r="B44">
            <v>1178.280029296875</v>
          </cell>
          <cell r="C44">
            <v>5.0769997760653496E-3</v>
          </cell>
        </row>
        <row r="45">
          <cell r="A45">
            <v>284.60000610351563</v>
          </cell>
          <cell r="B45">
            <v>1189.27001953125</v>
          </cell>
          <cell r="C45">
            <v>5.1330002024769783E-3</v>
          </cell>
        </row>
        <row r="46">
          <cell r="A46">
            <v>293.10000610351563</v>
          </cell>
          <cell r="B46">
            <v>1193.5400390625</v>
          </cell>
          <cell r="C46">
            <v>5.1500000990927219E-3</v>
          </cell>
        </row>
        <row r="47">
          <cell r="A47">
            <v>293.60000610351563</v>
          </cell>
          <cell r="B47">
            <v>1229.550048828125</v>
          </cell>
          <cell r="C47">
            <v>5.3420001640915871E-3</v>
          </cell>
        </row>
        <row r="48">
          <cell r="A48">
            <v>294.10000610351563</v>
          </cell>
          <cell r="B48">
            <v>1278.0799560546875</v>
          </cell>
          <cell r="C48">
            <v>5.5709998123347759E-3</v>
          </cell>
        </row>
        <row r="49">
          <cell r="A49">
            <v>303.60000610351563</v>
          </cell>
          <cell r="B49">
            <v>1282.6500244140625</v>
          </cell>
          <cell r="C49">
            <v>5.5800001136958599E-3</v>
          </cell>
        </row>
        <row r="50">
          <cell r="A50">
            <v>304.10000610351563</v>
          </cell>
          <cell r="B50">
            <v>1333.31005859375</v>
          </cell>
          <cell r="C50">
            <v>5.8209998533129692E-3</v>
          </cell>
        </row>
        <row r="51">
          <cell r="A51">
            <v>304.60000610351563</v>
          </cell>
          <cell r="B51">
            <v>1378.47998046875</v>
          </cell>
          <cell r="C51">
            <v>6.0439999215304852E-3</v>
          </cell>
        </row>
        <row r="52">
          <cell r="A52">
            <v>305.10000610351563</v>
          </cell>
          <cell r="B52">
            <v>1418.4599609375</v>
          </cell>
          <cell r="C52">
            <v>6.2389997765421867E-3</v>
          </cell>
        </row>
        <row r="53">
          <cell r="A53">
            <v>315.10000610351563</v>
          </cell>
          <cell r="B53">
            <v>1456.5999755859375</v>
          </cell>
          <cell r="C53">
            <v>6.4220000058412552E-3</v>
          </cell>
        </row>
        <row r="54">
          <cell r="A54">
            <v>315.60000610351563</v>
          </cell>
          <cell r="B54">
            <v>1499.6300048828125</v>
          </cell>
          <cell r="C54">
            <v>6.6439998336136341E-3</v>
          </cell>
        </row>
        <row r="55">
          <cell r="A55">
            <v>316.10000610351563</v>
          </cell>
          <cell r="B55">
            <v>1545.719970703125</v>
          </cell>
          <cell r="C55">
            <v>6.8540000356733799E-3</v>
          </cell>
        </row>
        <row r="56">
          <cell r="A56">
            <v>325.60000610351563</v>
          </cell>
          <cell r="B56">
            <v>1572.8800048828125</v>
          </cell>
          <cell r="C56">
            <v>6.9989999756217003E-3</v>
          </cell>
        </row>
        <row r="57">
          <cell r="A57">
            <v>326.10000610351563</v>
          </cell>
          <cell r="B57">
            <v>1607.6700439453125</v>
          </cell>
          <cell r="C57">
            <v>7.1820002049207687E-3</v>
          </cell>
        </row>
        <row r="58">
          <cell r="A58">
            <v>326.60000610351563</v>
          </cell>
          <cell r="B58">
            <v>1661.3800048828125</v>
          </cell>
          <cell r="C58">
            <v>7.4430000968277454E-3</v>
          </cell>
        </row>
        <row r="59">
          <cell r="A59">
            <v>336.10000610351563</v>
          </cell>
          <cell r="B59">
            <v>1673.8900146484375</v>
          </cell>
          <cell r="C59">
            <v>7.5159999541938305E-3</v>
          </cell>
        </row>
        <row r="60">
          <cell r="A60">
            <v>336.60000610351563</v>
          </cell>
          <cell r="B60">
            <v>1713.56005859375</v>
          </cell>
          <cell r="C60">
            <v>7.7419998124241829E-3</v>
          </cell>
        </row>
        <row r="61">
          <cell r="A61">
            <v>337.10000610351563</v>
          </cell>
          <cell r="B61">
            <v>1766.969970703125</v>
          </cell>
          <cell r="C61">
            <v>7.9899998381733894E-3</v>
          </cell>
        </row>
        <row r="62">
          <cell r="A62">
            <v>346.70001220703125</v>
          </cell>
          <cell r="B62">
            <v>1799.010009765625</v>
          </cell>
          <cell r="C62">
            <v>8.1559997051954269E-3</v>
          </cell>
        </row>
        <row r="63">
          <cell r="A63">
            <v>347.20001220703125</v>
          </cell>
          <cell r="B63">
            <v>1853.3299560546875</v>
          </cell>
          <cell r="C63">
            <v>8.4140002727508545E-3</v>
          </cell>
        </row>
        <row r="64">
          <cell r="A64">
            <v>348.20001220703125</v>
          </cell>
          <cell r="B64">
            <v>1870.4200439453125</v>
          </cell>
          <cell r="C64">
            <v>8.5330000147223473E-3</v>
          </cell>
        </row>
        <row r="65">
          <cell r="A65">
            <v>356.70001220703125</v>
          </cell>
          <cell r="B65">
            <v>1901.25</v>
          </cell>
          <cell r="C65">
            <v>8.6899995803833008E-3</v>
          </cell>
        </row>
        <row r="66">
          <cell r="A66">
            <v>357.20001220703125</v>
          </cell>
          <cell r="B66">
            <v>1949.77001953125</v>
          </cell>
          <cell r="C66">
            <v>8.9260004460811615E-3</v>
          </cell>
        </row>
        <row r="67">
          <cell r="A67">
            <v>357.70001220703125</v>
          </cell>
          <cell r="B67">
            <v>1993.0999755859375</v>
          </cell>
          <cell r="C67">
            <v>9.1570001095533371E-3</v>
          </cell>
        </row>
        <row r="68">
          <cell r="A68">
            <v>366.70001220703125</v>
          </cell>
          <cell r="B68">
            <v>2015.68994140625</v>
          </cell>
          <cell r="C68">
            <v>9.2799998819828033E-3</v>
          </cell>
        </row>
        <row r="69">
          <cell r="A69">
            <v>367.20001220703125</v>
          </cell>
          <cell r="B69">
            <v>2062.3798828125</v>
          </cell>
          <cell r="C69">
            <v>9.5180002972483635E-3</v>
          </cell>
        </row>
        <row r="70">
          <cell r="A70">
            <v>368.20001220703125</v>
          </cell>
          <cell r="B70">
            <v>2102.360107421875</v>
          </cell>
          <cell r="C70">
            <v>9.7430003806948662E-3</v>
          </cell>
        </row>
        <row r="71">
          <cell r="A71">
            <v>376.70001220703125</v>
          </cell>
          <cell r="B71">
            <v>2119.449951171875</v>
          </cell>
          <cell r="C71">
            <v>9.8209995776414871E-3</v>
          </cell>
        </row>
        <row r="72">
          <cell r="A72">
            <v>377.20001220703125</v>
          </cell>
          <cell r="B72">
            <v>2161.8701171875</v>
          </cell>
          <cell r="C72">
            <v>1.0010999627411366E-2</v>
          </cell>
        </row>
        <row r="73">
          <cell r="A73">
            <v>378.20001220703125</v>
          </cell>
          <cell r="B73">
            <v>2204.2900390625</v>
          </cell>
          <cell r="C73">
            <v>1.028400007635355E-2</v>
          </cell>
        </row>
        <row r="74">
          <cell r="A74">
            <v>386.70001220703125</v>
          </cell>
          <cell r="B74">
            <v>2235.719970703125</v>
          </cell>
          <cell r="C74">
            <v>1.0428999550640583E-2</v>
          </cell>
        </row>
        <row r="75">
          <cell r="A75">
            <v>387.20001220703125</v>
          </cell>
          <cell r="B75">
            <v>2280.8798828125</v>
          </cell>
          <cell r="C75">
            <v>1.0665999725461006E-2</v>
          </cell>
        </row>
        <row r="76">
          <cell r="A76">
            <v>388.20001220703125</v>
          </cell>
          <cell r="B76">
            <v>2312.320068359375</v>
          </cell>
          <cell r="C76">
            <v>1.0854000225663185E-2</v>
          </cell>
        </row>
        <row r="77">
          <cell r="A77">
            <v>396.70001220703125</v>
          </cell>
          <cell r="B77">
            <v>2335.510009765625</v>
          </cell>
          <cell r="C77">
            <v>1.0982000268995762E-2</v>
          </cell>
        </row>
        <row r="78">
          <cell r="A78">
            <v>397.20001220703125</v>
          </cell>
          <cell r="B78">
            <v>2374.570068359375</v>
          </cell>
          <cell r="C78">
            <v>1.1196999810636044E-2</v>
          </cell>
        </row>
        <row r="79">
          <cell r="A79">
            <v>398.20001220703125</v>
          </cell>
          <cell r="B79">
            <v>2401.72998046875</v>
          </cell>
          <cell r="C79">
            <v>1.1346000246703625E-2</v>
          </cell>
        </row>
        <row r="80">
          <cell r="A80">
            <v>406.70001220703125</v>
          </cell>
          <cell r="B80">
            <v>2428.889892578125</v>
          </cell>
          <cell r="C80">
            <v>1.1490000411868095E-2</v>
          </cell>
        </row>
        <row r="81">
          <cell r="A81">
            <v>407.20001220703125</v>
          </cell>
          <cell r="B81">
            <v>2469.47998046875</v>
          </cell>
          <cell r="C81">
            <v>1.1711000464856625E-2</v>
          </cell>
        </row>
        <row r="82">
          <cell r="A82">
            <v>408.20001220703125</v>
          </cell>
          <cell r="B82">
            <v>2492.3701171875</v>
          </cell>
          <cell r="C82">
            <v>1.1861000210046768E-2</v>
          </cell>
        </row>
        <row r="83">
          <cell r="A83">
            <v>416.20001220703125</v>
          </cell>
          <cell r="B83">
            <v>2503.659912109375</v>
          </cell>
          <cell r="C83">
            <v>1.1924999766051769E-2</v>
          </cell>
        </row>
        <row r="84">
          <cell r="A84">
            <v>416.70001220703125</v>
          </cell>
          <cell r="B84">
            <v>2548.219970703125</v>
          </cell>
          <cell r="C84">
            <v>1.2157999910414219E-2</v>
          </cell>
        </row>
        <row r="85">
          <cell r="A85">
            <v>417.20001220703125</v>
          </cell>
          <cell r="B85">
            <v>2590.330078125</v>
          </cell>
          <cell r="C85">
            <v>1.2389999814331532E-2</v>
          </cell>
        </row>
        <row r="86">
          <cell r="A86">
            <v>426.20001220703125</v>
          </cell>
          <cell r="B86">
            <v>2585.75</v>
          </cell>
          <cell r="C86">
            <v>1.2404000386595726E-2</v>
          </cell>
        </row>
        <row r="87">
          <cell r="A87">
            <v>426.70001220703125</v>
          </cell>
          <cell r="B87">
            <v>2636.719970703125</v>
          </cell>
          <cell r="C87">
            <v>1.2632999569177628E-2</v>
          </cell>
        </row>
        <row r="88">
          <cell r="A88">
            <v>427.20001220703125</v>
          </cell>
          <cell r="B88">
            <v>2675.169921875</v>
          </cell>
          <cell r="C88">
            <v>1.2884999625384808E-2</v>
          </cell>
        </row>
        <row r="89">
          <cell r="A89">
            <v>428.20001220703125</v>
          </cell>
          <cell r="B89">
            <v>2677.610107421875</v>
          </cell>
          <cell r="C89">
            <v>1.2926000170409679E-2</v>
          </cell>
        </row>
        <row r="90">
          <cell r="A90">
            <v>436.20001220703125</v>
          </cell>
          <cell r="B90">
            <v>2689.510009765625</v>
          </cell>
          <cell r="C90">
            <v>1.298999972641468E-2</v>
          </cell>
        </row>
        <row r="91">
          <cell r="A91">
            <v>436.70001220703125</v>
          </cell>
          <cell r="B91">
            <v>2735.60009765625</v>
          </cell>
          <cell r="C91">
            <v>1.3238999992609024E-2</v>
          </cell>
        </row>
        <row r="92">
          <cell r="A92">
            <v>437.20001220703125</v>
          </cell>
          <cell r="B92">
            <v>2778.929931640625</v>
          </cell>
          <cell r="C92">
            <v>1.3477000407874584E-2</v>
          </cell>
        </row>
        <row r="93">
          <cell r="A93">
            <v>438.20001220703125</v>
          </cell>
          <cell r="B93">
            <v>2776.7900390625</v>
          </cell>
          <cell r="C93">
            <v>1.3512000441551208E-2</v>
          </cell>
        </row>
        <row r="94">
          <cell r="A94">
            <v>446.20001220703125</v>
          </cell>
          <cell r="B94">
            <v>2824.39990234375</v>
          </cell>
          <cell r="C94">
            <v>1.3736000284552574E-2</v>
          </cell>
        </row>
        <row r="95">
          <cell r="A95">
            <v>446.70001220703125</v>
          </cell>
          <cell r="B95">
            <v>2867.739990234375</v>
          </cell>
          <cell r="C95">
            <v>1.401199959218502E-2</v>
          </cell>
        </row>
        <row r="96">
          <cell r="A96">
            <v>447.70001220703125</v>
          </cell>
          <cell r="B96">
            <v>2883.610107421875</v>
          </cell>
          <cell r="C96">
            <v>1.4144999906420708E-2</v>
          </cell>
        </row>
        <row r="97">
          <cell r="A97">
            <v>456.20001220703125</v>
          </cell>
          <cell r="B97">
            <v>2924.81005859375</v>
          </cell>
          <cell r="C97">
            <v>1.4352000318467617E-2</v>
          </cell>
        </row>
        <row r="98">
          <cell r="A98">
            <v>456.70001220703125</v>
          </cell>
          <cell r="B98">
            <v>2968.449951171875</v>
          </cell>
          <cell r="C98">
            <v>1.4612999744713306E-2</v>
          </cell>
        </row>
        <row r="99">
          <cell r="A99">
            <v>457.70001220703125</v>
          </cell>
          <cell r="B99">
            <v>2986.760009765625</v>
          </cell>
          <cell r="C99">
            <v>1.4766000211238861E-2</v>
          </cell>
        </row>
        <row r="100">
          <cell r="A100">
            <v>466.20001220703125</v>
          </cell>
          <cell r="B100">
            <v>3024.89990234375</v>
          </cell>
          <cell r="C100">
            <v>1.4967000111937523E-2</v>
          </cell>
        </row>
        <row r="101">
          <cell r="A101">
            <v>466.70001220703125</v>
          </cell>
          <cell r="B101">
            <v>3064.8798828125</v>
          </cell>
          <cell r="C101">
            <v>1.5235999599099159E-2</v>
          </cell>
        </row>
        <row r="102">
          <cell r="A102">
            <v>467.70001220703125</v>
          </cell>
          <cell r="B102">
            <v>3063.659912109375</v>
          </cell>
          <cell r="C102">
            <v>1.5297000296413898E-2</v>
          </cell>
        </row>
        <row r="103">
          <cell r="A103">
            <v>475.70001220703125</v>
          </cell>
          <cell r="B103">
            <v>3105.77001953125</v>
          </cell>
          <cell r="C103">
            <v>1.5514999628067017E-2</v>
          </cell>
        </row>
        <row r="104">
          <cell r="A104">
            <v>476.20001220703125</v>
          </cell>
          <cell r="B104">
            <v>3146.669921875</v>
          </cell>
          <cell r="C104">
            <v>1.5754999592900276E-2</v>
          </cell>
        </row>
        <row r="105">
          <cell r="A105">
            <v>477.20001220703125</v>
          </cell>
          <cell r="B105">
            <v>3164.669921875</v>
          </cell>
          <cell r="C105">
            <v>1.5926999971270561E-2</v>
          </cell>
        </row>
        <row r="106">
          <cell r="A106">
            <v>485.20001220703125</v>
          </cell>
          <cell r="B106">
            <v>3183.590087890625</v>
          </cell>
          <cell r="C106">
            <v>1.6031000763177872E-2</v>
          </cell>
        </row>
        <row r="107">
          <cell r="A107">
            <v>485.70001220703125</v>
          </cell>
          <cell r="B107">
            <v>3223.8798828125</v>
          </cell>
          <cell r="C107">
            <v>1.6292000189423561E-2</v>
          </cell>
        </row>
        <row r="108">
          <cell r="A108">
            <v>487.20001220703125</v>
          </cell>
          <cell r="B108">
            <v>3217.159912109375</v>
          </cell>
          <cell r="C108">
            <v>1.6379000619053841E-2</v>
          </cell>
        </row>
        <row r="109">
          <cell r="A109">
            <v>494.70001220703125</v>
          </cell>
          <cell r="B109">
            <v>3227.5400390625</v>
          </cell>
          <cell r="C109">
            <v>1.641399972140789E-2</v>
          </cell>
        </row>
        <row r="110">
          <cell r="A110">
            <v>495.20001220703125</v>
          </cell>
          <cell r="B110">
            <v>3284.300048828125</v>
          </cell>
          <cell r="C110">
            <v>1.6691999509930611E-2</v>
          </cell>
        </row>
        <row r="111">
          <cell r="A111">
            <v>495.70001220703125</v>
          </cell>
          <cell r="B111">
            <v>3327.030029296875</v>
          </cell>
          <cell r="C111">
            <v>1.6971999779343605E-2</v>
          </cell>
        </row>
        <row r="112">
          <cell r="A112">
            <v>496.70001220703125</v>
          </cell>
          <cell r="B112">
            <v>3351.75</v>
          </cell>
          <cell r="C112">
            <v>1.7200000584125519E-2</v>
          </cell>
        </row>
        <row r="113">
          <cell r="A113">
            <v>505.20001220703125</v>
          </cell>
          <cell r="B113">
            <v>3390.5</v>
          </cell>
          <cell r="C113">
            <v>1.7420999705791473E-2</v>
          </cell>
        </row>
        <row r="114">
          <cell r="A114">
            <v>505.70001220703125</v>
          </cell>
          <cell r="B114">
            <v>3426.510009765625</v>
          </cell>
          <cell r="C114">
            <v>1.7688000574707985E-2</v>
          </cell>
        </row>
        <row r="115">
          <cell r="A115">
            <v>514.70001220703125</v>
          </cell>
          <cell r="B115">
            <v>3457.949951171875</v>
          </cell>
          <cell r="C115">
            <v>1.7921000719070435E-2</v>
          </cell>
        </row>
        <row r="116">
          <cell r="A116">
            <v>515.20001220703125</v>
          </cell>
          <cell r="B116">
            <v>3491.52001953125</v>
          </cell>
          <cell r="C116">
            <v>1.8180999904870987E-2</v>
          </cell>
        </row>
        <row r="117">
          <cell r="A117">
            <v>516.20001220703125</v>
          </cell>
          <cell r="B117">
            <v>3484.18994140625</v>
          </cell>
          <cell r="C117">
            <v>1.8241999670863152E-2</v>
          </cell>
        </row>
        <row r="118">
          <cell r="A118">
            <v>523.70001220703125</v>
          </cell>
          <cell r="B118">
            <v>3484.18994140625</v>
          </cell>
          <cell r="C118">
            <v>1.8255999311804771E-2</v>
          </cell>
        </row>
        <row r="119">
          <cell r="A119">
            <v>524.20001220703125</v>
          </cell>
          <cell r="B119">
            <v>3539.1201171875</v>
          </cell>
          <cell r="C119">
            <v>1.852400042116642E-2</v>
          </cell>
        </row>
        <row r="120">
          <cell r="A120">
            <v>524.70001220703125</v>
          </cell>
          <cell r="B120">
            <v>3569.949951171875</v>
          </cell>
          <cell r="C120">
            <v>1.8799999728798866E-2</v>
          </cell>
        </row>
        <row r="121">
          <cell r="A121">
            <v>525.70001220703125</v>
          </cell>
          <cell r="B121">
            <v>3555.300048828125</v>
          </cell>
          <cell r="C121">
            <v>1.8828999251127243E-2</v>
          </cell>
        </row>
        <row r="122">
          <cell r="A122">
            <v>533.20001220703125</v>
          </cell>
          <cell r="B122">
            <v>3553.159912109375</v>
          </cell>
          <cell r="C122">
            <v>1.8840000033378601E-2</v>
          </cell>
        </row>
        <row r="123">
          <cell r="A123">
            <v>533.70001220703125</v>
          </cell>
          <cell r="B123">
            <v>3599.550048828125</v>
          </cell>
          <cell r="C123">
            <v>1.9090000540018082E-2</v>
          </cell>
        </row>
        <row r="124">
          <cell r="A124">
            <v>534.20001220703125</v>
          </cell>
          <cell r="B124">
            <v>3638.610107421875</v>
          </cell>
          <cell r="C124">
            <v>1.9399000331759453E-2</v>
          </cell>
        </row>
        <row r="125">
          <cell r="A125">
            <v>535.20001220703125</v>
          </cell>
          <cell r="B125">
            <v>3631.590087890625</v>
          </cell>
          <cell r="C125">
            <v>1.9478000700473785E-2</v>
          </cell>
        </row>
        <row r="126">
          <cell r="A126">
            <v>543.20001220703125</v>
          </cell>
          <cell r="B126">
            <v>3656.010009765625</v>
          </cell>
          <cell r="C126">
            <v>1.9617000594735146E-2</v>
          </cell>
        </row>
        <row r="127">
          <cell r="A127">
            <v>543.70001220703125</v>
          </cell>
          <cell r="B127">
            <v>3686.52001953125</v>
          </cell>
          <cell r="C127">
            <v>1.9894000142812729E-2</v>
          </cell>
        </row>
        <row r="128">
          <cell r="A128">
            <v>544.70001220703125</v>
          </cell>
          <cell r="B128">
            <v>3685.610107421875</v>
          </cell>
          <cell r="C128">
            <v>2.0075999200344086E-2</v>
          </cell>
        </row>
        <row r="129">
          <cell r="A129">
            <v>552.70001220703125</v>
          </cell>
          <cell r="B129">
            <v>3718.570068359375</v>
          </cell>
          <cell r="C129">
            <v>2.0235000178217888E-2</v>
          </cell>
        </row>
        <row r="130">
          <cell r="A130">
            <v>553.20001220703125</v>
          </cell>
          <cell r="B130">
            <v>3760.989990234375</v>
          </cell>
          <cell r="C130">
            <v>2.0543999969959259E-2</v>
          </cell>
        </row>
        <row r="131">
          <cell r="A131">
            <v>554.20001220703125</v>
          </cell>
          <cell r="B131">
            <v>3740.85009765625</v>
          </cell>
          <cell r="C131">
            <v>2.0597999915480614E-2</v>
          </cell>
        </row>
        <row r="132">
          <cell r="A132">
            <v>562.20001220703125</v>
          </cell>
          <cell r="B132">
            <v>3764.949951171875</v>
          </cell>
          <cell r="C132">
            <v>2.0738000050187111E-2</v>
          </cell>
        </row>
        <row r="133">
          <cell r="A133">
            <v>562.70001220703125</v>
          </cell>
          <cell r="B133">
            <v>3805.85009765625</v>
          </cell>
          <cell r="C133">
            <v>2.1038999781012535E-2</v>
          </cell>
        </row>
        <row r="134">
          <cell r="A134">
            <v>563.70001220703125</v>
          </cell>
          <cell r="B134">
            <v>3804.02001953125</v>
          </cell>
          <cell r="C134">
            <v>2.1221999078989029E-2</v>
          </cell>
        </row>
        <row r="135">
          <cell r="A135">
            <v>571.70001220703125</v>
          </cell>
          <cell r="B135">
            <v>3831.179931640625</v>
          </cell>
          <cell r="C135">
            <v>2.1364999935030937E-2</v>
          </cell>
        </row>
        <row r="136">
          <cell r="A136">
            <v>572.20001220703125</v>
          </cell>
          <cell r="B136">
            <v>3866.27001953125</v>
          </cell>
          <cell r="C136">
            <v>2.1674999967217445E-2</v>
          </cell>
        </row>
        <row r="137">
          <cell r="A137">
            <v>573.20001220703125</v>
          </cell>
          <cell r="B137">
            <v>3847.9599609375</v>
          </cell>
          <cell r="C137">
            <v>2.1779999136924744E-2</v>
          </cell>
        </row>
        <row r="138">
          <cell r="A138">
            <v>581.20001220703125</v>
          </cell>
          <cell r="B138">
            <v>3886.409912109375</v>
          </cell>
          <cell r="C138">
            <v>2.2018000483512878E-2</v>
          </cell>
        </row>
        <row r="139">
          <cell r="A139">
            <v>581.70001220703125</v>
          </cell>
          <cell r="B139">
            <v>3895.8701171875</v>
          </cell>
          <cell r="C139">
            <v>2.2440999746322632E-2</v>
          </cell>
        </row>
        <row r="140">
          <cell r="A140">
            <v>590.20001220703125</v>
          </cell>
          <cell r="B140">
            <v>3856.199951171875</v>
          </cell>
          <cell r="C140">
            <v>2.2547999396920204E-2</v>
          </cell>
        </row>
        <row r="141">
          <cell r="A141">
            <v>590.70001220703125</v>
          </cell>
          <cell r="B141">
            <v>3890.68994140625</v>
          </cell>
          <cell r="C141">
            <v>2.2873999550938606E-2</v>
          </cell>
        </row>
        <row r="142">
          <cell r="A142">
            <v>591.70001220703125</v>
          </cell>
          <cell r="B142">
            <v>3877.56005859375</v>
          </cell>
          <cell r="C142">
            <v>2.3178000003099442E-2</v>
          </cell>
        </row>
        <row r="143">
          <cell r="A143">
            <v>599.70001220703125</v>
          </cell>
          <cell r="B143">
            <v>3882.139892578125</v>
          </cell>
          <cell r="C143">
            <v>2.3219000548124313E-2</v>
          </cell>
        </row>
        <row r="144">
          <cell r="A144">
            <v>600.20001220703125</v>
          </cell>
          <cell r="B144">
            <v>3888.25</v>
          </cell>
          <cell r="C144">
            <v>2.3638999089598656E-2</v>
          </cell>
        </row>
        <row r="145">
          <cell r="A145">
            <v>601.20001220703125</v>
          </cell>
          <cell r="B145">
            <v>3843.080078125</v>
          </cell>
          <cell r="C145">
            <v>2.3762999102473259E-2</v>
          </cell>
        </row>
        <row r="146">
          <cell r="A146">
            <v>609.20001220703125</v>
          </cell>
          <cell r="B146">
            <v>3876.0400390625</v>
          </cell>
          <cell r="C146">
            <v>2.4007000029087067E-2</v>
          </cell>
        </row>
        <row r="147">
          <cell r="A147">
            <v>609.70001220703125</v>
          </cell>
          <cell r="B147">
            <v>3889.469970703125</v>
          </cell>
          <cell r="C147">
            <v>2.4411000311374664E-2</v>
          </cell>
        </row>
        <row r="148">
          <cell r="A148">
            <v>618.70001220703125</v>
          </cell>
          <cell r="B148">
            <v>3870.85009765625</v>
          </cell>
          <cell r="C148">
            <v>2.4605000391602516E-2</v>
          </cell>
        </row>
        <row r="149">
          <cell r="A149">
            <v>619.20001220703125</v>
          </cell>
          <cell r="B149">
            <v>3889.77001953125</v>
          </cell>
          <cell r="C149">
            <v>2.5017000734806061E-2</v>
          </cell>
        </row>
        <row r="150">
          <cell r="A150">
            <v>620.20001220703125</v>
          </cell>
          <cell r="B150">
            <v>3842.77001953125</v>
          </cell>
          <cell r="C150">
            <v>2.5038000196218491E-2</v>
          </cell>
        </row>
        <row r="151">
          <cell r="A151">
            <v>628.20001220703125</v>
          </cell>
          <cell r="B151">
            <v>3868.7099609375</v>
          </cell>
          <cell r="C151">
            <v>2.5208000093698502E-2</v>
          </cell>
        </row>
        <row r="152">
          <cell r="A152">
            <v>628.70001220703125</v>
          </cell>
          <cell r="B152">
            <v>3897.39990234375</v>
          </cell>
          <cell r="C152">
            <v>2.5574000552296638E-2</v>
          </cell>
        </row>
        <row r="153">
          <cell r="A153">
            <v>629.70001220703125</v>
          </cell>
          <cell r="B153">
            <v>3841.550048828125</v>
          </cell>
          <cell r="C153">
            <v>2.5777999311685562E-2</v>
          </cell>
        </row>
        <row r="154">
          <cell r="A154">
            <v>637.70001220703125</v>
          </cell>
          <cell r="B154">
            <v>3853.4599609375</v>
          </cell>
          <cell r="C154">
            <v>2.5882000103592873E-2</v>
          </cell>
        </row>
        <row r="155">
          <cell r="A155">
            <v>639.20001220703125</v>
          </cell>
          <cell r="B155">
            <v>3768.31005859375</v>
          </cell>
          <cell r="C155">
            <v>2.624800056219101E-2</v>
          </cell>
        </row>
        <row r="156">
          <cell r="A156">
            <v>647.20001220703125</v>
          </cell>
          <cell r="B156">
            <v>3804.320068359375</v>
          </cell>
          <cell r="C156">
            <v>2.6435999199748039E-2</v>
          </cell>
        </row>
        <row r="157">
          <cell r="A157">
            <v>647.70001220703125</v>
          </cell>
          <cell r="B157">
            <v>3828.739990234375</v>
          </cell>
          <cell r="C157">
            <v>2.6769999414682388E-2</v>
          </cell>
        </row>
        <row r="158">
          <cell r="A158">
            <v>648.70001220703125</v>
          </cell>
          <cell r="B158">
            <v>3787.22998046875</v>
          </cell>
          <cell r="C158">
            <v>2.7130000293254852E-2</v>
          </cell>
        </row>
        <row r="159">
          <cell r="A159">
            <v>657.20001220703125</v>
          </cell>
          <cell r="B159">
            <v>3811.340087890625</v>
          </cell>
          <cell r="C159">
            <v>2.7295000851154327E-2</v>
          </cell>
        </row>
        <row r="160">
          <cell r="A160">
            <v>657.70001220703125</v>
          </cell>
          <cell r="B160">
            <v>3814.699951171875</v>
          </cell>
          <cell r="C160">
            <v>2.7628999203443527E-2</v>
          </cell>
        </row>
        <row r="161">
          <cell r="A161">
            <v>658.70001220703125</v>
          </cell>
          <cell r="B161">
            <v>3761.2900390625</v>
          </cell>
          <cell r="C161">
            <v>2.7689000591635704E-2</v>
          </cell>
        </row>
        <row r="162">
          <cell r="A162">
            <v>667.20001220703125</v>
          </cell>
          <cell r="B162">
            <v>3801.580078125</v>
          </cell>
          <cell r="C162">
            <v>2.7955999597907066E-2</v>
          </cell>
        </row>
        <row r="163">
          <cell r="A163">
            <v>667.70001220703125</v>
          </cell>
          <cell r="B163">
            <v>3793.340087890625</v>
          </cell>
          <cell r="C163">
            <v>2.8443999588489532E-2</v>
          </cell>
        </row>
        <row r="164">
          <cell r="A164">
            <v>676.70001220703125</v>
          </cell>
          <cell r="B164">
            <v>3735.050048828125</v>
          </cell>
          <cell r="C164">
            <v>2.8550999239087105E-2</v>
          </cell>
        </row>
        <row r="165">
          <cell r="A165">
            <v>677.20001220703125</v>
          </cell>
          <cell r="B165">
            <v>3750.919921875</v>
          </cell>
          <cell r="C165">
            <v>2.8976000845432281E-2</v>
          </cell>
        </row>
        <row r="166">
          <cell r="A166">
            <v>678.20001220703125</v>
          </cell>
          <cell r="B166">
            <v>3647.77001953125</v>
          </cell>
          <cell r="C166">
            <v>2.9326999559998512E-2</v>
          </cell>
        </row>
        <row r="167">
          <cell r="A167">
            <v>686.70001220703125</v>
          </cell>
          <cell r="B167">
            <v>3669.429931640625</v>
          </cell>
          <cell r="C167">
            <v>2.9485000297427177E-2</v>
          </cell>
        </row>
        <row r="168">
          <cell r="A168">
            <v>688.20001220703125</v>
          </cell>
          <cell r="B168">
            <v>3548.889892578125</v>
          </cell>
          <cell r="C168">
            <v>2.9976999387145042E-2</v>
          </cell>
        </row>
        <row r="169">
          <cell r="A169">
            <v>696.70001220703125</v>
          </cell>
          <cell r="B169">
            <v>3574.219970703125</v>
          </cell>
          <cell r="C169">
            <v>3.0193999409675598E-2</v>
          </cell>
        </row>
        <row r="170">
          <cell r="A170">
            <v>698.20001220703125</v>
          </cell>
          <cell r="B170">
            <v>3444.52001953125</v>
          </cell>
          <cell r="C170">
            <v>3.0767999589443207E-2</v>
          </cell>
        </row>
        <row r="171">
          <cell r="A171">
            <v>706.70001220703125</v>
          </cell>
          <cell r="B171">
            <v>3460.68994140625</v>
          </cell>
          <cell r="C171">
            <v>3.0865000560879707E-2</v>
          </cell>
        </row>
        <row r="172">
          <cell r="A172">
            <v>707.20001220703125</v>
          </cell>
          <cell r="B172">
            <v>3406.679931640625</v>
          </cell>
          <cell r="C172">
            <v>3.1511999666690826E-2</v>
          </cell>
        </row>
        <row r="173">
          <cell r="A173">
            <v>708.20001220703125</v>
          </cell>
          <cell r="B173">
            <v>3337.10009765625</v>
          </cell>
          <cell r="C173">
            <v>3.1734000891447067E-2</v>
          </cell>
        </row>
        <row r="174">
          <cell r="A174">
            <v>717.20001220703125</v>
          </cell>
          <cell r="B174">
            <v>3352.050048828125</v>
          </cell>
          <cell r="C174">
            <v>3.1902000308036804E-2</v>
          </cell>
        </row>
        <row r="175">
          <cell r="A175">
            <v>717.70001220703125</v>
          </cell>
          <cell r="B175">
            <v>3348.389892578125</v>
          </cell>
          <cell r="C175">
            <v>3.2329000532627106E-2</v>
          </cell>
        </row>
        <row r="176">
          <cell r="A176">
            <v>718.70001220703125</v>
          </cell>
          <cell r="B176">
            <v>3293.4599609375</v>
          </cell>
          <cell r="C176">
            <v>3.2487001270055771E-2</v>
          </cell>
        </row>
        <row r="177">
          <cell r="A177">
            <v>727.70001220703125</v>
          </cell>
          <cell r="B177">
            <v>3294.679931640625</v>
          </cell>
          <cell r="C177">
            <v>3.2503999769687653E-2</v>
          </cell>
        </row>
        <row r="178">
          <cell r="A178">
            <v>728.20001220703125</v>
          </cell>
          <cell r="B178">
            <v>3307.800048828125</v>
          </cell>
          <cell r="C178">
            <v>3.2937999814748764E-2</v>
          </cell>
        </row>
        <row r="179">
          <cell r="A179">
            <v>729.20001220703125</v>
          </cell>
          <cell r="B179">
            <v>3218.68994140625</v>
          </cell>
          <cell r="C179">
            <v>3.3381998538970947E-2</v>
          </cell>
        </row>
        <row r="180">
          <cell r="A180">
            <v>738.70001220703125</v>
          </cell>
          <cell r="B180">
            <v>3218.989990234375</v>
          </cell>
          <cell r="C180">
            <v>3.3518999814987183E-2</v>
          </cell>
        </row>
        <row r="181">
          <cell r="A181">
            <v>739.20001220703125</v>
          </cell>
          <cell r="B181">
            <v>3209.840087890625</v>
          </cell>
          <cell r="C181">
            <v>3.3971000462770462E-2</v>
          </cell>
        </row>
        <row r="182">
          <cell r="A182">
            <v>749.70001220703125</v>
          </cell>
          <cell r="B182">
            <v>3173.52001953125</v>
          </cell>
          <cell r="C182">
            <v>3.4162998199462891E-2</v>
          </cell>
        </row>
        <row r="183">
          <cell r="A183">
            <v>750.20001220703125</v>
          </cell>
          <cell r="B183">
            <v>3184.510009765625</v>
          </cell>
          <cell r="C183">
            <v>3.4554999321699142E-2</v>
          </cell>
        </row>
        <row r="184">
          <cell r="A184">
            <v>751.20001220703125</v>
          </cell>
          <cell r="B184">
            <v>3055.419921875</v>
          </cell>
          <cell r="C184">
            <v>3.5052001476287842E-2</v>
          </cell>
        </row>
        <row r="185">
          <cell r="A185">
            <v>760.20001220703125</v>
          </cell>
          <cell r="B185">
            <v>3050.22998046875</v>
          </cell>
          <cell r="C185">
            <v>3.5091999918222427E-2</v>
          </cell>
        </row>
        <row r="186">
          <cell r="A186">
            <v>760.70001220703125</v>
          </cell>
          <cell r="B186">
            <v>3020.93994140625</v>
          </cell>
          <cell r="C186">
            <v>3.5604998469352722E-2</v>
          </cell>
        </row>
        <row r="187">
          <cell r="A187">
            <v>761.70001220703125</v>
          </cell>
          <cell r="B187">
            <v>2968.139892578125</v>
          </cell>
          <cell r="C187">
            <v>3.5767000168561935E-2</v>
          </cell>
        </row>
        <row r="188">
          <cell r="A188">
            <v>771.70001220703125</v>
          </cell>
          <cell r="B188">
            <v>2966.919921875</v>
          </cell>
          <cell r="C188">
            <v>3.5767998546361923E-2</v>
          </cell>
        </row>
        <row r="189">
          <cell r="A189">
            <v>772.20001220703125</v>
          </cell>
          <cell r="B189">
            <v>2970.580078125</v>
          </cell>
          <cell r="C189">
            <v>3.6191001534461975E-2</v>
          </cell>
        </row>
        <row r="190">
          <cell r="A190">
            <v>773.20001220703125</v>
          </cell>
          <cell r="B190">
            <v>2894.89990234375</v>
          </cell>
          <cell r="C190">
            <v>3.6635998636484146E-2</v>
          </cell>
        </row>
        <row r="191">
          <cell r="A191">
            <v>783.70001220703125</v>
          </cell>
          <cell r="B191">
            <v>2894.2900390625</v>
          </cell>
          <cell r="C191">
            <v>3.6694001406431198E-2</v>
          </cell>
        </row>
      </sheetData>
      <sheetData sheetId="6">
        <row r="1">
          <cell r="B1" t="str">
            <v>Load</v>
          </cell>
          <cell r="C1" t="str">
            <v>disp1</v>
          </cell>
        </row>
        <row r="2">
          <cell r="B2">
            <v>390.32000732421875</v>
          </cell>
          <cell r="C2">
            <v>1.3439999893307686E-3</v>
          </cell>
        </row>
        <row r="3">
          <cell r="B3">
            <v>422.05999755859375</v>
          </cell>
          <cell r="C3">
            <v>1.4830000000074506E-3</v>
          </cell>
        </row>
        <row r="4">
          <cell r="B4">
            <v>457.760009765625</v>
          </cell>
          <cell r="C4">
            <v>1.6570000443607569E-3</v>
          </cell>
        </row>
        <row r="5">
          <cell r="B5">
            <v>494.3800048828125</v>
          </cell>
          <cell r="C5">
            <v>1.8309999722987413E-3</v>
          </cell>
        </row>
        <row r="6">
          <cell r="B6">
            <v>530.4000244140625</v>
          </cell>
          <cell r="C6">
            <v>1.9970000721514225E-3</v>
          </cell>
        </row>
        <row r="7">
          <cell r="B7">
            <v>567.32000732421875</v>
          </cell>
          <cell r="C7">
            <v>2.1619999315589666E-3</v>
          </cell>
        </row>
        <row r="8">
          <cell r="B8">
            <v>607.6099853515625</v>
          </cell>
          <cell r="C8">
            <v>2.3590000346302986E-3</v>
          </cell>
        </row>
        <row r="9">
          <cell r="B9">
            <v>646.66998291015625</v>
          </cell>
          <cell r="C9">
            <v>2.5329999625682831E-3</v>
          </cell>
        </row>
        <row r="10">
          <cell r="B10">
            <v>686.95001220703125</v>
          </cell>
          <cell r="C10">
            <v>2.7159999590367079E-3</v>
          </cell>
        </row>
        <row r="11">
          <cell r="B11">
            <v>718.69000244140625</v>
          </cell>
          <cell r="C11">
            <v>2.8810000512748957E-3</v>
          </cell>
        </row>
        <row r="12">
          <cell r="B12">
            <v>729.3699951171875</v>
          </cell>
          <cell r="C12">
            <v>2.9140000697225332E-3</v>
          </cell>
        </row>
        <row r="13">
          <cell r="B13">
            <v>730.59002685546875</v>
          </cell>
          <cell r="C13">
            <v>2.9299999587237835E-3</v>
          </cell>
        </row>
        <row r="14">
          <cell r="B14">
            <v>733.6400146484375</v>
          </cell>
          <cell r="C14">
            <v>2.9390000272542238E-3</v>
          </cell>
        </row>
        <row r="15">
          <cell r="B15">
            <v>739.44000244140625</v>
          </cell>
          <cell r="C15">
            <v>2.9539999086409807E-3</v>
          </cell>
        </row>
        <row r="16">
          <cell r="B16">
            <v>738.219970703125</v>
          </cell>
          <cell r="C16">
            <v>2.9690000228583813E-3</v>
          </cell>
        </row>
        <row r="17">
          <cell r="B17">
            <v>745.239990234375</v>
          </cell>
          <cell r="C17">
            <v>3.0010000336915255E-3</v>
          </cell>
        </row>
        <row r="18">
          <cell r="B18">
            <v>745.8499755859375</v>
          </cell>
          <cell r="C18">
            <v>3.0040000565350056E-3</v>
          </cell>
        </row>
        <row r="19">
          <cell r="B19">
            <v>747.3800048828125</v>
          </cell>
          <cell r="C19">
            <v>3.0040000565350056E-3</v>
          </cell>
        </row>
        <row r="20">
          <cell r="B20">
            <v>762.33001708984375</v>
          </cell>
          <cell r="C20">
            <v>3.0489999335259199E-3</v>
          </cell>
        </row>
        <row r="21">
          <cell r="B21">
            <v>800.16998291015625</v>
          </cell>
          <cell r="C21">
            <v>3.2420000061392784E-3</v>
          </cell>
        </row>
        <row r="22">
          <cell r="B22">
            <v>852.3599853515625</v>
          </cell>
          <cell r="C22">
            <v>3.4940000623464584E-3</v>
          </cell>
        </row>
        <row r="23">
          <cell r="B23">
            <v>867.6099853515625</v>
          </cell>
          <cell r="C23">
            <v>3.5659999120980501E-3</v>
          </cell>
        </row>
        <row r="24">
          <cell r="B24">
            <v>911.55999755859375</v>
          </cell>
          <cell r="C24">
            <v>3.7700000684708357E-3</v>
          </cell>
        </row>
        <row r="25">
          <cell r="B25">
            <v>950.32000732421875</v>
          </cell>
          <cell r="C25">
            <v>3.9539998397231102E-3</v>
          </cell>
        </row>
        <row r="26">
          <cell r="B26">
            <v>986.6300048828125</v>
          </cell>
          <cell r="C26">
            <v>4.1470001451671124E-3</v>
          </cell>
        </row>
        <row r="27">
          <cell r="B27">
            <v>1027.530029296875</v>
          </cell>
          <cell r="C27">
            <v>4.3379999697208405E-3</v>
          </cell>
        </row>
        <row r="28">
          <cell r="B28">
            <v>1069.949951171875</v>
          </cell>
          <cell r="C28">
            <v>4.5380000956356525E-3</v>
          </cell>
        </row>
        <row r="29">
          <cell r="B29">
            <v>1093.75</v>
          </cell>
          <cell r="C29">
            <v>4.6600000932812691E-3</v>
          </cell>
        </row>
        <row r="30">
          <cell r="B30">
            <v>1143.489990234375</v>
          </cell>
          <cell r="C30">
            <v>4.8919999971985817E-3</v>
          </cell>
        </row>
        <row r="31">
          <cell r="B31">
            <v>1178.280029296875</v>
          </cell>
          <cell r="C31">
            <v>5.0769997760653496E-3</v>
          </cell>
        </row>
        <row r="32">
          <cell r="B32">
            <v>1189.27001953125</v>
          </cell>
          <cell r="C32">
            <v>5.1330002024769783E-3</v>
          </cell>
        </row>
        <row r="33">
          <cell r="B33">
            <v>1193.5400390625</v>
          </cell>
          <cell r="C33">
            <v>5.1500000990927219E-3</v>
          </cell>
        </row>
        <row r="34">
          <cell r="B34">
            <v>1229.550048828125</v>
          </cell>
          <cell r="C34">
            <v>5.3420001640915871E-3</v>
          </cell>
        </row>
        <row r="35">
          <cell r="B35">
            <v>1278.0799560546875</v>
          </cell>
          <cell r="C35">
            <v>5.5709998123347759E-3</v>
          </cell>
        </row>
        <row r="36">
          <cell r="B36">
            <v>1282.6500244140625</v>
          </cell>
          <cell r="C36">
            <v>5.5800001136958599E-3</v>
          </cell>
        </row>
        <row r="37">
          <cell r="B37">
            <v>1333.31005859375</v>
          </cell>
          <cell r="C37">
            <v>5.8209998533129692E-3</v>
          </cell>
        </row>
        <row r="38">
          <cell r="B38">
            <v>1378.47998046875</v>
          </cell>
          <cell r="C38">
            <v>6.0439999215304852E-3</v>
          </cell>
        </row>
        <row r="39">
          <cell r="B39">
            <v>1418.4599609375</v>
          </cell>
          <cell r="C39">
            <v>6.2389997765421867E-3</v>
          </cell>
        </row>
        <row r="40">
          <cell r="B40">
            <v>1456.5999755859375</v>
          </cell>
          <cell r="C40">
            <v>6.4220000058412552E-3</v>
          </cell>
        </row>
        <row r="41">
          <cell r="B41">
            <v>1499.6300048828125</v>
          </cell>
          <cell r="C41">
            <v>6.6439998336136341E-3</v>
          </cell>
        </row>
        <row r="42">
          <cell r="B42">
            <v>1545.719970703125</v>
          </cell>
          <cell r="C42">
            <v>6.8540000356733799E-3</v>
          </cell>
        </row>
      </sheetData>
      <sheetData sheetId="7">
        <row r="4">
          <cell r="A4">
            <v>1.0039999485015869</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21.xml"/><Relationship Id="rId2" Type="http://schemas.openxmlformats.org/officeDocument/2006/relationships/vmlDrawing" Target="../drawings/vmlDrawing2.vml"/><Relationship Id="rId1" Type="http://schemas.openxmlformats.org/officeDocument/2006/relationships/drawing" Target="../drawings/drawing2.xml"/><Relationship Id="rId5" Type="http://schemas.openxmlformats.org/officeDocument/2006/relationships/ctrlProp" Target="../ctrlProps/ctrlProp23.xml"/><Relationship Id="rId4" Type="http://schemas.openxmlformats.org/officeDocument/2006/relationships/ctrlProp" Target="../ctrlProps/ctrlProp2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openxmlformats.org/officeDocument/2006/relationships/ctrlProp" Target="../ctrlProps/ctrlProp25.xml"/><Relationship Id="rId4" Type="http://schemas.openxmlformats.org/officeDocument/2006/relationships/ctrlProp" Target="../ctrlProps/ctrlProp24.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3.bin"/><Relationship Id="rId5" Type="http://schemas.openxmlformats.org/officeDocument/2006/relationships/ctrlProp" Target="../ctrlProps/ctrlProp27.xml"/><Relationship Id="rId4" Type="http://schemas.openxmlformats.org/officeDocument/2006/relationships/ctrlProp" Target="../ctrlProps/ctrlProp2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trlProp" Target="../ctrlProps/ctrlProp2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Z57"/>
  <sheetViews>
    <sheetView showGridLines="0" zoomScale="90" zoomScaleNormal="90" workbookViewId="0"/>
  </sheetViews>
  <sheetFormatPr defaultColWidth="9.140625" defaultRowHeight="12.75" x14ac:dyDescent="0.2"/>
  <cols>
    <col min="1" max="1" width="3.7109375" style="1" customWidth="1"/>
    <col min="2" max="2" width="34.5703125" style="1" customWidth="1"/>
    <col min="3" max="3" width="3.5703125" style="1" customWidth="1"/>
    <col min="4" max="4" width="34.42578125" style="1" customWidth="1"/>
    <col min="5" max="5" width="3.7109375" style="1" customWidth="1"/>
    <col min="6" max="6" width="34.42578125" style="1" customWidth="1"/>
    <col min="7" max="7" width="9.140625" style="1"/>
    <col min="8" max="8" width="24.28515625" style="1" bestFit="1" customWidth="1"/>
    <col min="9" max="9" width="30.7109375" style="1" customWidth="1"/>
    <col min="10" max="11" width="9.140625" style="1"/>
    <col min="12" max="12" width="9.140625" style="1" customWidth="1"/>
    <col min="13" max="25" width="9.140625" style="1"/>
    <col min="26" max="26" width="9.140625" style="1" hidden="1" customWidth="1"/>
    <col min="27" max="16384" width="9.140625" style="1"/>
  </cols>
  <sheetData>
    <row r="2" spans="2:26" ht="18" x14ac:dyDescent="0.2">
      <c r="B2" s="6" t="s">
        <v>9</v>
      </c>
      <c r="D2" s="6" t="s">
        <v>5</v>
      </c>
      <c r="F2" s="6" t="s">
        <v>6</v>
      </c>
      <c r="Z2" s="9" t="s">
        <v>10</v>
      </c>
    </row>
    <row r="3" spans="2:26" ht="8.25" customHeight="1" x14ac:dyDescent="0.2">
      <c r="H3" s="117" t="s">
        <v>1</v>
      </c>
      <c r="I3" s="120" t="s">
        <v>16</v>
      </c>
      <c r="Z3" s="9" t="s">
        <v>11</v>
      </c>
    </row>
    <row r="4" spans="2:26" ht="8.25" customHeight="1" x14ac:dyDescent="0.2">
      <c r="H4" s="117"/>
      <c r="I4" s="121"/>
      <c r="Z4" s="9" t="s">
        <v>12</v>
      </c>
    </row>
    <row r="5" spans="2:26" ht="8.25" customHeight="1" x14ac:dyDescent="0.2">
      <c r="H5" s="117" t="s">
        <v>2</v>
      </c>
      <c r="I5" s="118" t="s">
        <v>19</v>
      </c>
      <c r="Z5" s="9" t="s">
        <v>13</v>
      </c>
    </row>
    <row r="6" spans="2:26" ht="8.25" customHeight="1" x14ac:dyDescent="0.2">
      <c r="H6" s="117"/>
      <c r="I6" s="119"/>
      <c r="Z6" s="9" t="s">
        <v>14</v>
      </c>
    </row>
    <row r="7" spans="2:26" ht="8.25" customHeight="1" x14ac:dyDescent="0.2">
      <c r="H7" s="116" t="s">
        <v>3</v>
      </c>
      <c r="I7" s="118">
        <v>4000224818</v>
      </c>
      <c r="Z7" s="9" t="s">
        <v>15</v>
      </c>
    </row>
    <row r="8" spans="2:26" ht="8.25" customHeight="1" x14ac:dyDescent="0.2">
      <c r="H8" s="116"/>
      <c r="I8" s="119"/>
      <c r="Z8" s="9" t="s">
        <v>17</v>
      </c>
    </row>
    <row r="9" spans="2:26" ht="18" customHeight="1" x14ac:dyDescent="0.2">
      <c r="H9" s="7" t="s">
        <v>4</v>
      </c>
      <c r="I9" s="2" t="s">
        <v>20</v>
      </c>
      <c r="Z9" s="9" t="s">
        <v>16</v>
      </c>
    </row>
    <row r="10" spans="2:26" ht="8.25" customHeight="1" x14ac:dyDescent="0.2">
      <c r="Z10" s="9" t="s">
        <v>18</v>
      </c>
    </row>
    <row r="11" spans="2:26" ht="8.25" customHeight="1" x14ac:dyDescent="0.2"/>
    <row r="12" spans="2:26" ht="8.25" customHeight="1" x14ac:dyDescent="0.2"/>
    <row r="13" spans="2:26" ht="8.25" customHeight="1" x14ac:dyDescent="0.2"/>
    <row r="14" spans="2:26" ht="8.25" customHeight="1" x14ac:dyDescent="0.2"/>
    <row r="15" spans="2:26" ht="8.25" customHeight="1" x14ac:dyDescent="0.2"/>
    <row r="16" spans="2:26" ht="18" customHeight="1" x14ac:dyDescent="0.2">
      <c r="H16" s="115" t="s">
        <v>0</v>
      </c>
      <c r="I16" s="115"/>
      <c r="J16" s="115"/>
      <c r="K16" s="115"/>
      <c r="L16" s="115"/>
      <c r="M16" s="115"/>
      <c r="N16" s="115"/>
      <c r="O16" s="115"/>
      <c r="P16" s="115"/>
      <c r="Q16" s="115"/>
      <c r="R16" s="115"/>
      <c r="S16" s="115"/>
      <c r="T16" s="115"/>
      <c r="U16" s="115"/>
      <c r="V16" s="8"/>
      <c r="W16" s="8"/>
      <c r="X16" s="8"/>
      <c r="Y16" s="8"/>
      <c r="Z16" s="8"/>
    </row>
    <row r="17" spans="6:26" ht="8.25" customHeight="1" x14ac:dyDescent="0.2">
      <c r="H17" s="115"/>
      <c r="I17" s="115"/>
      <c r="J17" s="115"/>
      <c r="K17" s="115"/>
      <c r="L17" s="115"/>
      <c r="M17" s="115"/>
      <c r="N17" s="115"/>
      <c r="O17" s="115"/>
      <c r="P17" s="115"/>
      <c r="Q17" s="115"/>
      <c r="R17" s="115"/>
      <c r="S17" s="115"/>
      <c r="T17" s="115"/>
      <c r="U17" s="115"/>
      <c r="V17" s="8"/>
      <c r="W17" s="8"/>
      <c r="X17" s="8"/>
      <c r="Y17" s="8"/>
      <c r="Z17" s="8"/>
    </row>
    <row r="18" spans="6:26" ht="8.25" customHeight="1" x14ac:dyDescent="0.2">
      <c r="H18" s="115"/>
      <c r="I18" s="115"/>
      <c r="J18" s="115"/>
      <c r="K18" s="115"/>
      <c r="L18" s="115"/>
      <c r="M18" s="115"/>
      <c r="N18" s="115"/>
      <c r="O18" s="115"/>
      <c r="P18" s="115"/>
      <c r="Q18" s="115"/>
      <c r="R18" s="115"/>
      <c r="S18" s="115"/>
      <c r="T18" s="115"/>
      <c r="U18" s="115"/>
      <c r="V18" s="8"/>
      <c r="W18" s="8"/>
      <c r="X18" s="8"/>
      <c r="Y18" s="8"/>
      <c r="Z18" s="8"/>
    </row>
    <row r="19" spans="6:26" ht="8.25" customHeight="1" x14ac:dyDescent="0.2">
      <c r="H19" s="115"/>
      <c r="I19" s="115"/>
      <c r="J19" s="115"/>
      <c r="K19" s="115"/>
      <c r="L19" s="115"/>
      <c r="M19" s="115"/>
      <c r="N19" s="115"/>
      <c r="O19" s="115"/>
      <c r="P19" s="115"/>
      <c r="Q19" s="115"/>
      <c r="R19" s="115"/>
      <c r="S19" s="115"/>
      <c r="T19" s="115"/>
      <c r="U19" s="115"/>
      <c r="V19" s="8"/>
      <c r="W19" s="8"/>
      <c r="X19" s="8"/>
      <c r="Y19" s="8"/>
      <c r="Z19" s="8"/>
    </row>
    <row r="20" spans="6:26" ht="8.25" customHeight="1" x14ac:dyDescent="0.2">
      <c r="H20" s="115"/>
      <c r="I20" s="115"/>
      <c r="J20" s="115"/>
      <c r="K20" s="115"/>
      <c r="L20" s="115"/>
      <c r="M20" s="115"/>
      <c r="N20" s="115"/>
      <c r="O20" s="115"/>
      <c r="P20" s="115"/>
      <c r="Q20" s="115"/>
      <c r="R20" s="115"/>
      <c r="S20" s="115"/>
      <c r="T20" s="115"/>
      <c r="U20" s="115"/>
      <c r="V20" s="8"/>
      <c r="W20" s="8"/>
      <c r="X20" s="8"/>
      <c r="Y20" s="8"/>
      <c r="Z20" s="8"/>
    </row>
    <row r="21" spans="6:26" ht="8.25" customHeight="1" x14ac:dyDescent="0.2">
      <c r="H21" s="115"/>
      <c r="I21" s="115"/>
      <c r="J21" s="115"/>
      <c r="K21" s="115"/>
      <c r="L21" s="115"/>
      <c r="M21" s="115"/>
      <c r="N21" s="115"/>
      <c r="O21" s="115"/>
      <c r="P21" s="115"/>
      <c r="Q21" s="115"/>
      <c r="R21" s="115"/>
      <c r="S21" s="115"/>
      <c r="T21" s="115"/>
      <c r="U21" s="115"/>
      <c r="V21" s="8"/>
      <c r="W21" s="8"/>
      <c r="X21" s="8"/>
      <c r="Y21" s="8"/>
      <c r="Z21" s="8"/>
    </row>
    <row r="22" spans="6:26" ht="8.25" customHeight="1" x14ac:dyDescent="0.2">
      <c r="H22" s="115"/>
      <c r="I22" s="115"/>
      <c r="J22" s="115"/>
      <c r="K22" s="115"/>
      <c r="L22" s="115"/>
      <c r="M22" s="115"/>
      <c r="N22" s="115"/>
      <c r="O22" s="115"/>
      <c r="P22" s="115"/>
      <c r="Q22" s="115"/>
      <c r="R22" s="115"/>
      <c r="S22" s="115"/>
      <c r="T22" s="115"/>
      <c r="U22" s="115"/>
      <c r="V22" s="8"/>
      <c r="W22" s="8"/>
      <c r="X22" s="8"/>
      <c r="Y22" s="8"/>
      <c r="Z22" s="8"/>
    </row>
    <row r="23" spans="6:26" ht="18" customHeight="1" x14ac:dyDescent="0.25">
      <c r="F23" s="4" t="s">
        <v>7</v>
      </c>
      <c r="H23" s="115"/>
      <c r="I23" s="115"/>
      <c r="J23" s="115"/>
      <c r="K23" s="115"/>
      <c r="L23" s="115"/>
      <c r="M23" s="115"/>
      <c r="N23" s="115"/>
      <c r="O23" s="115"/>
      <c r="P23" s="115"/>
      <c r="Q23" s="115"/>
      <c r="R23" s="115"/>
      <c r="S23" s="115"/>
      <c r="T23" s="115"/>
      <c r="U23" s="115"/>
      <c r="V23" s="8"/>
      <c r="W23" s="8"/>
      <c r="X23" s="8"/>
      <c r="Y23" s="8"/>
      <c r="Z23" s="8"/>
    </row>
    <row r="24" spans="6:26" ht="8.25" customHeight="1" x14ac:dyDescent="0.2"/>
    <row r="25" spans="6:26" ht="8.25" customHeight="1" x14ac:dyDescent="0.2"/>
    <row r="26" spans="6:26" ht="8.25" customHeight="1" x14ac:dyDescent="0.2"/>
    <row r="27" spans="6:26" ht="8.25" customHeight="1" x14ac:dyDescent="0.2"/>
    <row r="28" spans="6:26" ht="8.25" customHeight="1" x14ac:dyDescent="0.2"/>
    <row r="29" spans="6:26" ht="8.25" customHeight="1" x14ac:dyDescent="0.2"/>
    <row r="30" spans="6:26" ht="18" customHeight="1" x14ac:dyDescent="0.2"/>
    <row r="31" spans="6:26" ht="8.25" customHeight="1" x14ac:dyDescent="0.2"/>
    <row r="32" spans="6:26" ht="8.25" customHeight="1" x14ac:dyDescent="0.2"/>
    <row r="33" spans="2:6" ht="8.25" customHeight="1" x14ac:dyDescent="0.2"/>
    <row r="34" spans="2:6" ht="8.25" customHeight="1" x14ac:dyDescent="0.25">
      <c r="C34" s="5"/>
      <c r="D34" s="5"/>
      <c r="E34" s="3"/>
    </row>
    <row r="35" spans="2:6" ht="8.25" customHeight="1" x14ac:dyDescent="0.25">
      <c r="B35" s="5"/>
      <c r="C35" s="5"/>
      <c r="D35" s="5"/>
      <c r="E35" s="3"/>
    </row>
    <row r="36" spans="2:6" ht="8.25" customHeight="1" x14ac:dyDescent="0.2"/>
    <row r="37" spans="2:6" ht="18" customHeight="1" x14ac:dyDescent="0.25">
      <c r="B37" s="4"/>
      <c r="F37" s="6" t="s">
        <v>8</v>
      </c>
    </row>
    <row r="38" spans="2:6" ht="8.25" customHeight="1" x14ac:dyDescent="0.2"/>
    <row r="39" spans="2:6" ht="8.25" customHeight="1" x14ac:dyDescent="0.2"/>
    <row r="40" spans="2:6" ht="8.25" customHeight="1" x14ac:dyDescent="0.2"/>
    <row r="41" spans="2:6" ht="8.25" customHeight="1" x14ac:dyDescent="0.2"/>
    <row r="42" spans="2:6" ht="8.25" customHeight="1" x14ac:dyDescent="0.2"/>
    <row r="43" spans="2:6" ht="8.25" customHeight="1" x14ac:dyDescent="0.2"/>
    <row r="44" spans="2:6" ht="18" customHeight="1" x14ac:dyDescent="0.2">
      <c r="F44" s="6"/>
    </row>
    <row r="45" spans="2:6" ht="8.25" customHeight="1" x14ac:dyDescent="0.2"/>
    <row r="46" spans="2:6" ht="8.25" customHeight="1" x14ac:dyDescent="0.2"/>
    <row r="47" spans="2:6" ht="8.25" customHeight="1" x14ac:dyDescent="0.2"/>
    <row r="48" spans="2:6" ht="8.25" customHeight="1" x14ac:dyDescent="0.2"/>
    <row r="49" ht="8.25" customHeight="1" x14ac:dyDescent="0.2"/>
    <row r="50" ht="8.25" customHeight="1" x14ac:dyDescent="0.2"/>
    <row r="51" ht="18" customHeight="1" x14ac:dyDescent="0.2"/>
    <row r="52" ht="8.25" customHeight="1" x14ac:dyDescent="0.2"/>
    <row r="53" ht="8.25" customHeight="1" x14ac:dyDescent="0.2"/>
    <row r="54" ht="8.25" customHeight="1" x14ac:dyDescent="0.2"/>
    <row r="55" ht="8.25" customHeight="1" x14ac:dyDescent="0.2"/>
    <row r="56" ht="8.25" customHeight="1" x14ac:dyDescent="0.2"/>
    <row r="57" ht="8.25" customHeight="1" x14ac:dyDescent="0.2"/>
  </sheetData>
  <sortState xmlns:xlrd2="http://schemas.microsoft.com/office/spreadsheetml/2017/richdata2" ref="Z2:Z9">
    <sortCondition ref="Z2:Z9"/>
  </sortState>
  <mergeCells count="7">
    <mergeCell ref="H16:U23"/>
    <mergeCell ref="H7:H8"/>
    <mergeCell ref="H5:H6"/>
    <mergeCell ref="H3:H4"/>
    <mergeCell ref="I7:I8"/>
    <mergeCell ref="I5:I6"/>
    <mergeCell ref="I3:I4"/>
  </mergeCells>
  <dataValidations count="1">
    <dataValidation type="list" allowBlank="1" showInputMessage="1" showErrorMessage="1" sqref="I3:I4" xr:uid="{00000000-0002-0000-0000-000000000000}">
      <formula1>$Z$2:$Z$9</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42" r:id="rId4" name="Button 18">
              <controlPr defaultSize="0" print="0" autoFill="0" autoPict="0" macro="[0]!Torsion_Inputs">
                <anchor moveWithCells="1" sizeWithCells="1">
                  <from>
                    <xdr:col>0</xdr:col>
                    <xdr:colOff>238125</xdr:colOff>
                    <xdr:row>15</xdr:row>
                    <xdr:rowOff>228600</xdr:rowOff>
                  </from>
                  <to>
                    <xdr:col>1</xdr:col>
                    <xdr:colOff>2276475</xdr:colOff>
                    <xdr:row>21</xdr:row>
                    <xdr:rowOff>95250</xdr:rowOff>
                  </to>
                </anchor>
              </controlPr>
            </control>
          </mc:Choice>
        </mc:AlternateContent>
        <mc:AlternateContent xmlns:mc="http://schemas.openxmlformats.org/markup-compatibility/2006">
          <mc:Choice Requires="x14">
            <control shapeId="1043" r:id="rId5" name="Button 19">
              <controlPr defaultSize="0" print="0" autoFill="0" autoPict="0" macro="[0]!RCL_Inputs">
                <anchor moveWithCells="1" sizeWithCells="1">
                  <from>
                    <xdr:col>0</xdr:col>
                    <xdr:colOff>238125</xdr:colOff>
                    <xdr:row>30</xdr:row>
                    <xdr:rowOff>19050</xdr:rowOff>
                  </from>
                  <to>
                    <xdr:col>1</xdr:col>
                    <xdr:colOff>2276475</xdr:colOff>
                    <xdr:row>36</xdr:row>
                    <xdr:rowOff>19050</xdr:rowOff>
                  </to>
                </anchor>
              </controlPr>
            </control>
          </mc:Choice>
        </mc:AlternateContent>
        <mc:AlternateContent xmlns:mc="http://schemas.openxmlformats.org/markup-compatibility/2006">
          <mc:Choice Requires="x14">
            <control shapeId="1044" r:id="rId6" name="Button 20">
              <controlPr defaultSize="0" print="0" autoFill="0" autoPict="0" macro="[0]!Tensile_Inputs">
                <anchor moveWithCells="1" sizeWithCells="1">
                  <from>
                    <xdr:col>2</xdr:col>
                    <xdr:colOff>238125</xdr:colOff>
                    <xdr:row>2</xdr:row>
                    <xdr:rowOff>28575</xdr:rowOff>
                  </from>
                  <to>
                    <xdr:col>3</xdr:col>
                    <xdr:colOff>2286000</xdr:colOff>
                    <xdr:row>8</xdr:row>
                    <xdr:rowOff>28575</xdr:rowOff>
                  </to>
                </anchor>
              </controlPr>
            </control>
          </mc:Choice>
        </mc:AlternateContent>
        <mc:AlternateContent xmlns:mc="http://schemas.openxmlformats.org/markup-compatibility/2006">
          <mc:Choice Requires="x14">
            <control shapeId="1045" r:id="rId7" name="Button 21">
              <controlPr defaultSize="0" print="0" autoFill="0" autoPict="0" macro="[0]!Compression_Inputs">
                <anchor moveWithCells="1" sizeWithCells="1">
                  <from>
                    <xdr:col>2</xdr:col>
                    <xdr:colOff>238125</xdr:colOff>
                    <xdr:row>9</xdr:row>
                    <xdr:rowOff>0</xdr:rowOff>
                  </from>
                  <to>
                    <xdr:col>3</xdr:col>
                    <xdr:colOff>2286000</xdr:colOff>
                    <xdr:row>14</xdr:row>
                    <xdr:rowOff>104775</xdr:rowOff>
                  </to>
                </anchor>
              </controlPr>
            </control>
          </mc:Choice>
        </mc:AlternateContent>
        <mc:AlternateContent xmlns:mc="http://schemas.openxmlformats.org/markup-compatibility/2006">
          <mc:Choice Requires="x14">
            <control shapeId="1046" r:id="rId8" name="Button 22">
              <controlPr defaultSize="0" print="0" autoFill="0" autoPict="0" macro="[0]!DynMod_Inputs">
                <anchor moveWithCells="1" sizeWithCells="1">
                  <from>
                    <xdr:col>2</xdr:col>
                    <xdr:colOff>238125</xdr:colOff>
                    <xdr:row>23</xdr:row>
                    <xdr:rowOff>28575</xdr:rowOff>
                  </from>
                  <to>
                    <xdr:col>3</xdr:col>
                    <xdr:colOff>2286000</xdr:colOff>
                    <xdr:row>29</xdr:row>
                    <xdr:rowOff>19050</xdr:rowOff>
                  </to>
                </anchor>
              </controlPr>
            </control>
          </mc:Choice>
        </mc:AlternateContent>
        <mc:AlternateContent xmlns:mc="http://schemas.openxmlformats.org/markup-compatibility/2006">
          <mc:Choice Requires="x14">
            <control shapeId="1048" r:id="rId9" name="Button 24">
              <controlPr defaultSize="0" print="0" autoFill="0" autoPict="0" macro="[0]!Static_Modulus_Inputs">
                <anchor moveWithCells="1" sizeWithCells="1">
                  <from>
                    <xdr:col>2</xdr:col>
                    <xdr:colOff>238125</xdr:colOff>
                    <xdr:row>30</xdr:row>
                    <xdr:rowOff>28575</xdr:rowOff>
                  </from>
                  <to>
                    <xdr:col>3</xdr:col>
                    <xdr:colOff>2286000</xdr:colOff>
                    <xdr:row>36</xdr:row>
                    <xdr:rowOff>28575</xdr:rowOff>
                  </to>
                </anchor>
              </controlPr>
            </control>
          </mc:Choice>
        </mc:AlternateContent>
        <mc:AlternateContent xmlns:mc="http://schemas.openxmlformats.org/markup-compatibility/2006">
          <mc:Choice Requires="x14">
            <control shapeId="1049" r:id="rId10" name="Button 25">
              <controlPr defaultSize="0" print="0" autoFill="0" autoPict="0" macro="[0]!Shear_Modulus_Inputs">
                <anchor moveWithCells="1" sizeWithCells="1">
                  <from>
                    <xdr:col>2</xdr:col>
                    <xdr:colOff>238125</xdr:colOff>
                    <xdr:row>37</xdr:row>
                    <xdr:rowOff>19050</xdr:rowOff>
                  </from>
                  <to>
                    <xdr:col>3</xdr:col>
                    <xdr:colOff>2286000</xdr:colOff>
                    <xdr:row>43</xdr:row>
                    <xdr:rowOff>19050</xdr:rowOff>
                  </to>
                </anchor>
              </controlPr>
            </control>
          </mc:Choice>
        </mc:AlternateContent>
        <mc:AlternateContent xmlns:mc="http://schemas.openxmlformats.org/markup-compatibility/2006">
          <mc:Choice Requires="x14">
            <control shapeId="1050" r:id="rId11" name="Button 26">
              <controlPr defaultSize="0" print="0" autoFill="0" autoPict="0" macro="[0]!Poisson_Inputs">
                <anchor moveWithCells="1" sizeWithCells="1">
                  <from>
                    <xdr:col>2</xdr:col>
                    <xdr:colOff>238125</xdr:colOff>
                    <xdr:row>44</xdr:row>
                    <xdr:rowOff>19050</xdr:rowOff>
                  </from>
                  <to>
                    <xdr:col>3</xdr:col>
                    <xdr:colOff>2286000</xdr:colOff>
                    <xdr:row>50</xdr:row>
                    <xdr:rowOff>19050</xdr:rowOff>
                  </to>
                </anchor>
              </controlPr>
            </control>
          </mc:Choice>
        </mc:AlternateContent>
        <mc:AlternateContent xmlns:mc="http://schemas.openxmlformats.org/markup-compatibility/2006">
          <mc:Choice Requires="x14">
            <control shapeId="1051" r:id="rId12" name="Button 27">
              <controlPr defaultSize="0" print="0" autoFill="0" autoPict="0" macro="[0]!Mfg_Inputs">
                <anchor moveWithCells="1" sizeWithCells="1">
                  <from>
                    <xdr:col>4</xdr:col>
                    <xdr:colOff>238125</xdr:colOff>
                    <xdr:row>37</xdr:row>
                    <xdr:rowOff>19050</xdr:rowOff>
                  </from>
                  <to>
                    <xdr:col>5</xdr:col>
                    <xdr:colOff>2286000</xdr:colOff>
                    <xdr:row>43</xdr:row>
                    <xdr:rowOff>19050</xdr:rowOff>
                  </to>
                </anchor>
              </controlPr>
            </control>
          </mc:Choice>
        </mc:AlternateContent>
        <mc:AlternateContent xmlns:mc="http://schemas.openxmlformats.org/markup-compatibility/2006">
          <mc:Choice Requires="x14">
            <control shapeId="1052" r:id="rId13" name="Button 28">
              <controlPr defaultSize="0" print="0" autoFill="0" autoPict="0" macro="[0]!RotBend_Inputs">
                <anchor moveWithCells="1" sizeWithCells="1">
                  <from>
                    <xdr:col>0</xdr:col>
                    <xdr:colOff>238125</xdr:colOff>
                    <xdr:row>37</xdr:row>
                    <xdr:rowOff>19050</xdr:rowOff>
                  </from>
                  <to>
                    <xdr:col>1</xdr:col>
                    <xdr:colOff>2276475</xdr:colOff>
                    <xdr:row>43</xdr:row>
                    <xdr:rowOff>19050</xdr:rowOff>
                  </to>
                </anchor>
              </controlPr>
            </control>
          </mc:Choice>
        </mc:AlternateContent>
        <mc:AlternateContent xmlns:mc="http://schemas.openxmlformats.org/markup-compatibility/2006">
          <mc:Choice Requires="x14">
            <control shapeId="1054" r:id="rId14" name="Button 30">
              <controlPr defaultSize="0" print="0" autoFill="0" autoPict="0" macro="[0]!Point_Bend_Inputs">
                <anchor moveWithCells="1" sizeWithCells="1">
                  <from>
                    <xdr:col>0</xdr:col>
                    <xdr:colOff>238125</xdr:colOff>
                    <xdr:row>44</xdr:row>
                    <xdr:rowOff>19050</xdr:rowOff>
                  </from>
                  <to>
                    <xdr:col>1</xdr:col>
                    <xdr:colOff>2276475</xdr:colOff>
                    <xdr:row>50</xdr:row>
                    <xdr:rowOff>19050</xdr:rowOff>
                  </to>
                </anchor>
              </controlPr>
            </control>
          </mc:Choice>
        </mc:AlternateContent>
        <mc:AlternateContent xmlns:mc="http://schemas.openxmlformats.org/markup-compatibility/2006">
          <mc:Choice Requires="x14">
            <control shapeId="1055" r:id="rId15" name="Button 31">
              <controlPr defaultSize="0" print="0" autoFill="0" autoPict="0" macro="[0]!Cantilever_Inputs">
                <anchor moveWithCells="1" sizeWithCells="1">
                  <from>
                    <xdr:col>0</xdr:col>
                    <xdr:colOff>238125</xdr:colOff>
                    <xdr:row>50</xdr:row>
                    <xdr:rowOff>228600</xdr:rowOff>
                  </from>
                  <to>
                    <xdr:col>1</xdr:col>
                    <xdr:colOff>2276475</xdr:colOff>
                    <xdr:row>56</xdr:row>
                    <xdr:rowOff>95250</xdr:rowOff>
                  </to>
                </anchor>
              </controlPr>
            </control>
          </mc:Choice>
        </mc:AlternateContent>
        <mc:AlternateContent xmlns:mc="http://schemas.openxmlformats.org/markup-compatibility/2006">
          <mc:Choice Requires="x14">
            <control shapeId="1057" r:id="rId16" name="Button 33">
              <controlPr defaultSize="0" print="0" autoFill="0" autoPict="0" macro="[0]!Load_Inputs">
                <anchor moveWithCells="1" sizeWithCells="1">
                  <from>
                    <xdr:col>0</xdr:col>
                    <xdr:colOff>238125</xdr:colOff>
                    <xdr:row>2</xdr:row>
                    <xdr:rowOff>28575</xdr:rowOff>
                  </from>
                  <to>
                    <xdr:col>1</xdr:col>
                    <xdr:colOff>2276475</xdr:colOff>
                    <xdr:row>8</xdr:row>
                    <xdr:rowOff>28575</xdr:rowOff>
                  </to>
                </anchor>
              </controlPr>
            </control>
          </mc:Choice>
        </mc:AlternateContent>
        <mc:AlternateContent xmlns:mc="http://schemas.openxmlformats.org/markup-compatibility/2006">
          <mc:Choice Requires="x14">
            <control shapeId="1058" r:id="rId17" name="Button 34">
              <controlPr defaultSize="0" print="0" autoFill="0" autoPict="0" macro="[0]!Erosion_Inputs">
                <anchor moveWithCells="1" sizeWithCells="1">
                  <from>
                    <xdr:col>4</xdr:col>
                    <xdr:colOff>238125</xdr:colOff>
                    <xdr:row>23</xdr:row>
                    <xdr:rowOff>28575</xdr:rowOff>
                  </from>
                  <to>
                    <xdr:col>5</xdr:col>
                    <xdr:colOff>2286000</xdr:colOff>
                    <xdr:row>29</xdr:row>
                    <xdr:rowOff>19050</xdr:rowOff>
                  </to>
                </anchor>
              </controlPr>
            </control>
          </mc:Choice>
        </mc:AlternateContent>
        <mc:AlternateContent xmlns:mc="http://schemas.openxmlformats.org/markup-compatibility/2006">
          <mc:Choice Requires="x14">
            <control shapeId="1059" r:id="rId18" name="Button 35">
              <controlPr defaultSize="0" print="0" autoFill="0" autoPict="0" macro="[0]!Shear_Inputs">
                <anchor moveWithCells="1" sizeWithCells="1">
                  <from>
                    <xdr:col>2</xdr:col>
                    <xdr:colOff>238125</xdr:colOff>
                    <xdr:row>15</xdr:row>
                    <xdr:rowOff>228600</xdr:rowOff>
                  </from>
                  <to>
                    <xdr:col>3</xdr:col>
                    <xdr:colOff>2286000</xdr:colOff>
                    <xdr:row>21</xdr:row>
                    <xdr:rowOff>95250</xdr:rowOff>
                  </to>
                </anchor>
              </controlPr>
            </control>
          </mc:Choice>
        </mc:AlternateContent>
        <mc:AlternateContent xmlns:mc="http://schemas.openxmlformats.org/markup-compatibility/2006">
          <mc:Choice Requires="x14">
            <control shapeId="1060" r:id="rId19" name="Button 36">
              <controlPr defaultSize="0" print="0" autoFill="0" autoPict="0" macro="[0]!FTInputs.FT_Inputs">
                <anchor moveWithCells="1" sizeWithCells="1">
                  <from>
                    <xdr:col>4</xdr:col>
                    <xdr:colOff>238125</xdr:colOff>
                    <xdr:row>2</xdr:row>
                    <xdr:rowOff>28575</xdr:rowOff>
                  </from>
                  <to>
                    <xdr:col>5</xdr:col>
                    <xdr:colOff>2286000</xdr:colOff>
                    <xdr:row>8</xdr:row>
                    <xdr:rowOff>28575</xdr:rowOff>
                  </to>
                </anchor>
              </controlPr>
            </control>
          </mc:Choice>
        </mc:AlternateContent>
        <mc:AlternateContent xmlns:mc="http://schemas.openxmlformats.org/markup-compatibility/2006">
          <mc:Choice Requires="x14">
            <control shapeId="1061" r:id="rId20" name="Button 37">
              <controlPr defaultSize="0" print="0" autoFill="0" autoPict="0">
                <anchor moveWithCells="1" sizeWithCells="1">
                  <from>
                    <xdr:col>0</xdr:col>
                    <xdr:colOff>238125</xdr:colOff>
                    <xdr:row>23</xdr:row>
                    <xdr:rowOff>28575</xdr:rowOff>
                  </from>
                  <to>
                    <xdr:col>1</xdr:col>
                    <xdr:colOff>2276475</xdr:colOff>
                    <xdr:row>29</xdr:row>
                    <xdr:rowOff>19050</xdr:rowOff>
                  </to>
                </anchor>
              </controlPr>
            </control>
          </mc:Choice>
        </mc:AlternateContent>
        <mc:AlternateContent xmlns:mc="http://schemas.openxmlformats.org/markup-compatibility/2006">
          <mc:Choice Requires="x14">
            <control shapeId="1062" r:id="rId21" name="Button 38">
              <controlPr defaultSize="0" print="0" autoFill="0" autoPict="0" macro="[0]!FCGR_Inputs">
                <anchor moveWithCells="1" sizeWithCells="1">
                  <from>
                    <xdr:col>4</xdr:col>
                    <xdr:colOff>238125</xdr:colOff>
                    <xdr:row>9</xdr:row>
                    <xdr:rowOff>0</xdr:rowOff>
                  </from>
                  <to>
                    <xdr:col>5</xdr:col>
                    <xdr:colOff>2286000</xdr:colOff>
                    <xdr:row>14</xdr:row>
                    <xdr:rowOff>104775</xdr:rowOff>
                  </to>
                </anchor>
              </controlPr>
            </control>
          </mc:Choice>
        </mc:AlternateContent>
        <mc:AlternateContent xmlns:mc="http://schemas.openxmlformats.org/markup-compatibility/2006">
          <mc:Choice Requires="x14">
            <control shapeId="1063" r:id="rId22" name="Button 39">
              <controlPr defaultSize="0" print="0" autoFill="0" autoPict="0">
                <anchor moveWithCells="1" sizeWithCells="1">
                  <from>
                    <xdr:col>2</xdr:col>
                    <xdr:colOff>238125</xdr:colOff>
                    <xdr:row>50</xdr:row>
                    <xdr:rowOff>228600</xdr:rowOff>
                  </from>
                  <to>
                    <xdr:col>3</xdr:col>
                    <xdr:colOff>2286000</xdr:colOff>
                    <xdr:row>56</xdr:row>
                    <xdr:rowOff>95250</xdr:rowOff>
                  </to>
                </anchor>
              </controlPr>
            </control>
          </mc:Choice>
        </mc:AlternateContent>
        <mc:AlternateContent xmlns:mc="http://schemas.openxmlformats.org/markup-compatibility/2006">
          <mc:Choice Requires="x14">
            <control shapeId="1069" r:id="rId23" name="Button 45">
              <controlPr defaultSize="0" print="0" autoFill="0" autoPict="0" macro="[0]!Strain_Inputs">
                <anchor moveWithCells="1" sizeWithCells="1">
                  <from>
                    <xdr:col>0</xdr:col>
                    <xdr:colOff>238125</xdr:colOff>
                    <xdr:row>9</xdr:row>
                    <xdr:rowOff>0</xdr:rowOff>
                  </from>
                  <to>
                    <xdr:col>1</xdr:col>
                    <xdr:colOff>2276475</xdr:colOff>
                    <xdr:row>14</xdr:row>
                    <xdr:rowOff>104775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40"/>
  <sheetViews>
    <sheetView workbookViewId="0">
      <selection sqref="A1:B1"/>
    </sheetView>
  </sheetViews>
  <sheetFormatPr defaultRowHeight="12.75" x14ac:dyDescent="0.2"/>
  <cols>
    <col min="1" max="1" width="54.7109375" customWidth="1"/>
    <col min="2" max="2" width="30.7109375" customWidth="1"/>
    <col min="3" max="26" width="12.7109375" customWidth="1"/>
  </cols>
  <sheetData>
    <row r="1" spans="1:27" ht="18" customHeight="1" x14ac:dyDescent="0.2">
      <c r="A1" s="122" t="s">
        <v>21</v>
      </c>
      <c r="B1" s="122"/>
      <c r="C1" s="11"/>
      <c r="D1" s="11"/>
      <c r="E1" s="11"/>
      <c r="F1" s="11"/>
      <c r="G1" s="11"/>
      <c r="H1" s="11"/>
      <c r="I1" s="11"/>
      <c r="J1" s="11"/>
      <c r="K1" s="11"/>
      <c r="L1" s="11"/>
      <c r="M1" s="11"/>
      <c r="N1" s="11"/>
      <c r="O1" s="11"/>
      <c r="P1" s="11"/>
      <c r="Q1" s="11"/>
      <c r="R1" s="11"/>
      <c r="S1" s="11"/>
      <c r="T1" s="11"/>
      <c r="U1" s="11"/>
      <c r="V1" s="11"/>
      <c r="W1" s="11"/>
      <c r="X1" s="11"/>
      <c r="Y1" s="11"/>
      <c r="Z1" s="11"/>
      <c r="AA1" s="11"/>
    </row>
    <row r="2" spans="1:27" ht="18" customHeight="1" x14ac:dyDescent="0.2">
      <c r="A2" s="10" t="s">
        <v>1</v>
      </c>
      <c r="B2" s="13" t="s">
        <v>16</v>
      </c>
      <c r="C2" s="12"/>
      <c r="D2" s="12"/>
      <c r="E2" s="12"/>
      <c r="F2" s="12"/>
      <c r="G2" s="12"/>
      <c r="H2" s="12"/>
      <c r="I2" s="12"/>
      <c r="J2" s="12"/>
      <c r="K2" s="12"/>
      <c r="L2" s="12"/>
      <c r="M2" s="12"/>
      <c r="N2" s="12"/>
      <c r="O2" s="12"/>
      <c r="P2" s="12"/>
      <c r="Q2" s="12"/>
      <c r="R2" s="12"/>
      <c r="S2" s="12"/>
      <c r="T2" s="12"/>
      <c r="U2" s="12"/>
      <c r="V2" s="12"/>
      <c r="W2" s="12"/>
      <c r="X2" s="12"/>
      <c r="Y2" s="12"/>
      <c r="Z2" s="12"/>
      <c r="AA2" s="12"/>
    </row>
    <row r="3" spans="1:27" ht="18" customHeight="1" x14ac:dyDescent="0.2">
      <c r="A3" s="10" t="s">
        <v>2</v>
      </c>
      <c r="B3" s="13" t="s">
        <v>19</v>
      </c>
      <c r="C3" s="12"/>
      <c r="D3" s="12"/>
      <c r="E3" s="12"/>
      <c r="F3" s="12"/>
      <c r="G3" s="12"/>
      <c r="H3" s="12"/>
      <c r="I3" s="12"/>
      <c r="J3" s="12"/>
      <c r="K3" s="12"/>
      <c r="L3" s="12"/>
      <c r="M3" s="12"/>
      <c r="N3" s="12"/>
      <c r="O3" s="12"/>
      <c r="P3" s="12"/>
      <c r="Q3" s="12"/>
      <c r="R3" s="12"/>
      <c r="S3" s="12"/>
      <c r="T3" s="12"/>
      <c r="U3" s="12"/>
      <c r="V3" s="12"/>
      <c r="W3" s="12"/>
      <c r="X3" s="12"/>
      <c r="Y3" s="12"/>
      <c r="Z3" s="12"/>
      <c r="AA3" s="12"/>
    </row>
    <row r="4" spans="1:27" ht="18" customHeight="1" x14ac:dyDescent="0.2">
      <c r="A4" s="10" t="s">
        <v>3</v>
      </c>
      <c r="B4" s="2">
        <v>4000224818</v>
      </c>
      <c r="C4" s="12"/>
      <c r="D4" s="12"/>
      <c r="E4" s="12"/>
      <c r="F4" s="12"/>
      <c r="G4" s="12"/>
      <c r="H4" s="12"/>
      <c r="I4" s="12"/>
      <c r="J4" s="12"/>
      <c r="K4" s="12"/>
      <c r="L4" s="12"/>
      <c r="M4" s="12"/>
      <c r="N4" s="12"/>
      <c r="O4" s="12"/>
      <c r="P4" s="12"/>
      <c r="Q4" s="12"/>
      <c r="R4" s="12"/>
      <c r="S4" s="12"/>
      <c r="T4" s="12"/>
      <c r="U4" s="12"/>
      <c r="V4" s="12"/>
      <c r="W4" s="12"/>
      <c r="X4" s="12"/>
      <c r="Y4" s="12"/>
      <c r="Z4" s="12"/>
      <c r="AA4" s="12"/>
    </row>
    <row r="5" spans="1:27" ht="18" customHeight="1" x14ac:dyDescent="0.2">
      <c r="A5" s="10" t="s">
        <v>22</v>
      </c>
      <c r="B5" s="13"/>
      <c r="C5" s="12"/>
      <c r="D5" s="12"/>
      <c r="E5" s="12"/>
      <c r="F5" s="12"/>
      <c r="G5" s="12"/>
      <c r="H5" s="12"/>
      <c r="I5" s="12"/>
      <c r="J5" s="12"/>
      <c r="K5" s="12"/>
      <c r="L5" s="12"/>
      <c r="M5" s="12"/>
      <c r="N5" s="12"/>
      <c r="O5" s="12"/>
      <c r="P5" s="12"/>
      <c r="Q5" s="12"/>
      <c r="R5" s="12"/>
      <c r="S5" s="12"/>
      <c r="T5" s="12"/>
      <c r="U5" s="12"/>
      <c r="V5" s="12"/>
      <c r="W5" s="12"/>
      <c r="X5" s="12"/>
      <c r="Y5" s="12"/>
      <c r="Z5" s="12"/>
      <c r="AA5" s="12"/>
    </row>
    <row r="6" spans="1:27" ht="18" customHeight="1" x14ac:dyDescent="0.2">
      <c r="A6" s="10" t="s">
        <v>23</v>
      </c>
      <c r="B6" s="13" t="s">
        <v>58</v>
      </c>
      <c r="C6" s="12"/>
      <c r="D6" s="12"/>
      <c r="E6" s="12"/>
      <c r="F6" s="12"/>
      <c r="G6" s="12"/>
      <c r="H6" s="12"/>
      <c r="I6" s="12"/>
      <c r="J6" s="12"/>
      <c r="K6" s="12"/>
      <c r="L6" s="12"/>
      <c r="M6" s="12"/>
      <c r="N6" s="12"/>
      <c r="O6" s="12"/>
      <c r="P6" s="12"/>
      <c r="Q6" s="12"/>
      <c r="R6" s="12"/>
      <c r="S6" s="12"/>
      <c r="T6" s="12"/>
      <c r="U6" s="12"/>
      <c r="V6" s="12"/>
      <c r="W6" s="12"/>
      <c r="X6" s="12"/>
      <c r="Y6" s="12"/>
      <c r="Z6" s="12"/>
      <c r="AA6" s="12"/>
    </row>
    <row r="7" spans="1:27" ht="18" customHeight="1" x14ac:dyDescent="0.2">
      <c r="A7" s="10" t="s">
        <v>24</v>
      </c>
      <c r="B7" s="14" t="s">
        <v>20</v>
      </c>
      <c r="C7" s="12"/>
      <c r="D7" s="12"/>
      <c r="E7" s="12"/>
      <c r="F7" s="12"/>
      <c r="G7" s="12"/>
      <c r="H7" s="12"/>
      <c r="I7" s="12"/>
      <c r="J7" s="12"/>
      <c r="K7" s="12"/>
      <c r="L7" s="12"/>
      <c r="M7" s="12"/>
      <c r="N7" s="12"/>
      <c r="O7" s="12"/>
      <c r="P7" s="12"/>
      <c r="Q7" s="12"/>
      <c r="R7" s="12"/>
      <c r="S7" s="12"/>
      <c r="T7" s="12"/>
      <c r="U7" s="12"/>
      <c r="V7" s="12"/>
      <c r="W7" s="12"/>
      <c r="X7" s="12"/>
      <c r="Y7" s="12"/>
      <c r="Z7" s="12"/>
      <c r="AA7" s="12"/>
    </row>
    <row r="8" spans="1:27" ht="18" customHeight="1" x14ac:dyDescent="0.2">
      <c r="A8" s="10" t="s">
        <v>25</v>
      </c>
      <c r="B8" s="13" t="s">
        <v>59</v>
      </c>
      <c r="C8" s="12"/>
      <c r="D8" s="12"/>
      <c r="E8" s="12"/>
      <c r="F8" s="12"/>
      <c r="G8" s="12"/>
      <c r="H8" s="12"/>
      <c r="I8" s="12"/>
      <c r="J8" s="12"/>
      <c r="K8" s="12"/>
      <c r="L8" s="12"/>
      <c r="M8" s="12"/>
      <c r="N8" s="12"/>
      <c r="O8" s="12"/>
      <c r="P8" s="12"/>
      <c r="Q8" s="12"/>
      <c r="R8" s="12"/>
      <c r="S8" s="12"/>
      <c r="T8" s="12"/>
      <c r="U8" s="12"/>
      <c r="V8" s="12"/>
      <c r="W8" s="12"/>
      <c r="X8" s="12"/>
      <c r="Y8" s="12"/>
      <c r="Z8" s="12"/>
      <c r="AA8" s="12"/>
    </row>
    <row r="9" spans="1:27" ht="18" customHeight="1" x14ac:dyDescent="0.2">
      <c r="A9" s="10" t="s">
        <v>26</v>
      </c>
      <c r="B9" s="13" t="s">
        <v>60</v>
      </c>
      <c r="C9" s="12"/>
      <c r="D9" s="12"/>
      <c r="E9" s="12"/>
      <c r="F9" s="12"/>
      <c r="G9" s="12"/>
      <c r="H9" s="12"/>
      <c r="I9" s="12"/>
      <c r="J9" s="12"/>
      <c r="K9" s="12"/>
      <c r="L9" s="12"/>
      <c r="M9" s="12"/>
      <c r="N9" s="12"/>
      <c r="O9" s="12"/>
      <c r="P9" s="12"/>
      <c r="Q9" s="12"/>
      <c r="R9" s="12"/>
      <c r="S9" s="12"/>
      <c r="T9" s="12"/>
      <c r="U9" s="12"/>
      <c r="V9" s="12"/>
      <c r="W9" s="12"/>
      <c r="X9" s="12"/>
      <c r="Y9" s="12"/>
      <c r="Z9" s="12"/>
      <c r="AA9" s="12"/>
    </row>
    <row r="10" spans="1:27" ht="18" customHeight="1" x14ac:dyDescent="0.2">
      <c r="A10" s="10" t="s">
        <v>27</v>
      </c>
      <c r="B10" s="13" t="s">
        <v>61</v>
      </c>
      <c r="C10" s="12"/>
      <c r="D10" s="12"/>
      <c r="E10" s="12"/>
      <c r="F10" s="12"/>
      <c r="G10" s="12"/>
      <c r="H10" s="12"/>
      <c r="I10" s="12"/>
      <c r="J10" s="12"/>
      <c r="K10" s="12"/>
      <c r="L10" s="12"/>
      <c r="M10" s="12"/>
      <c r="N10" s="12"/>
      <c r="O10" s="12"/>
      <c r="P10" s="12"/>
      <c r="Q10" s="12"/>
      <c r="R10" s="12"/>
      <c r="S10" s="12"/>
      <c r="T10" s="12"/>
      <c r="U10" s="12"/>
      <c r="V10" s="12"/>
      <c r="W10" s="12"/>
      <c r="X10" s="12"/>
      <c r="Y10" s="12"/>
      <c r="Z10" s="12"/>
      <c r="AA10" s="12"/>
    </row>
    <row r="11" spans="1:27" ht="18" customHeight="1" x14ac:dyDescent="0.2">
      <c r="A11" s="10" t="s">
        <v>28</v>
      </c>
      <c r="B11" s="13"/>
      <c r="C11" s="12"/>
      <c r="D11" s="12"/>
      <c r="E11" s="12"/>
      <c r="F11" s="12"/>
      <c r="G11" s="12"/>
      <c r="H11" s="12"/>
      <c r="I11" s="12"/>
      <c r="J11" s="12"/>
      <c r="K11" s="12"/>
      <c r="L11" s="12"/>
      <c r="M11" s="12"/>
      <c r="N11" s="12"/>
      <c r="O11" s="12"/>
      <c r="P11" s="12"/>
      <c r="Q11" s="12"/>
      <c r="R11" s="12"/>
      <c r="S11" s="12"/>
      <c r="T11" s="12"/>
      <c r="U11" s="12"/>
      <c r="V11" s="12"/>
      <c r="W11" s="12"/>
      <c r="X11" s="12"/>
      <c r="Y11" s="12"/>
      <c r="Z11" s="12"/>
      <c r="AA11" s="12"/>
    </row>
    <row r="12" spans="1:27" ht="18" customHeight="1" x14ac:dyDescent="0.2">
      <c r="A12" s="10" t="s">
        <v>29</v>
      </c>
      <c r="B12" s="15">
        <v>59040</v>
      </c>
      <c r="C12" s="12"/>
      <c r="D12" s="12"/>
      <c r="E12" s="12"/>
      <c r="F12" s="12"/>
      <c r="G12" s="12"/>
      <c r="H12" s="12"/>
      <c r="I12" s="12"/>
      <c r="J12" s="12"/>
      <c r="K12" s="12"/>
      <c r="L12" s="12"/>
      <c r="M12" s="12"/>
      <c r="N12" s="12"/>
      <c r="O12" s="12"/>
      <c r="P12" s="12"/>
      <c r="Q12" s="12"/>
      <c r="R12" s="12"/>
      <c r="S12" s="12"/>
      <c r="T12" s="12"/>
      <c r="U12" s="12"/>
      <c r="V12" s="12"/>
      <c r="W12" s="12"/>
      <c r="X12" s="12"/>
      <c r="Y12" s="12"/>
      <c r="Z12" s="12"/>
      <c r="AA12" s="12"/>
    </row>
    <row r="13" spans="1:27" ht="18" customHeight="1" x14ac:dyDescent="0.2">
      <c r="A13" s="10" t="s">
        <v>30</v>
      </c>
      <c r="B13" s="13" t="s">
        <v>62</v>
      </c>
      <c r="C13" s="12"/>
      <c r="D13" s="12"/>
      <c r="E13" s="12"/>
      <c r="F13" s="12"/>
      <c r="G13" s="12"/>
      <c r="H13" s="12"/>
      <c r="I13" s="12"/>
      <c r="J13" s="12"/>
      <c r="K13" s="12"/>
      <c r="L13" s="12"/>
      <c r="M13" s="12"/>
      <c r="N13" s="12"/>
      <c r="O13" s="12"/>
      <c r="P13" s="12"/>
      <c r="Q13" s="12"/>
      <c r="R13" s="12"/>
      <c r="S13" s="12"/>
      <c r="T13" s="12"/>
      <c r="U13" s="12"/>
      <c r="V13" s="12"/>
      <c r="W13" s="12"/>
      <c r="X13" s="12"/>
      <c r="Y13" s="12"/>
      <c r="Z13" s="12"/>
      <c r="AA13" s="12"/>
    </row>
    <row r="14" spans="1:27" ht="18" customHeight="1" x14ac:dyDescent="0.2">
      <c r="A14" s="10" t="s">
        <v>31</v>
      </c>
      <c r="B14" s="13" t="s">
        <v>63</v>
      </c>
      <c r="C14" s="12"/>
      <c r="D14" s="12"/>
      <c r="E14" s="12"/>
      <c r="F14" s="12"/>
      <c r="G14" s="12"/>
      <c r="H14" s="12"/>
      <c r="I14" s="12"/>
      <c r="J14" s="12"/>
      <c r="K14" s="12"/>
      <c r="L14" s="12"/>
      <c r="M14" s="12"/>
      <c r="N14" s="12"/>
      <c r="O14" s="12"/>
      <c r="P14" s="12"/>
      <c r="Q14" s="12"/>
      <c r="R14" s="12"/>
      <c r="S14" s="12"/>
      <c r="T14" s="12"/>
      <c r="U14" s="12"/>
      <c r="V14" s="12"/>
      <c r="W14" s="12"/>
      <c r="X14" s="12"/>
      <c r="Y14" s="12"/>
      <c r="Z14" s="12"/>
      <c r="AA14" s="12"/>
    </row>
    <row r="15" spans="1:27" ht="18" customHeight="1" x14ac:dyDescent="0.2">
      <c r="A15" s="10" t="s">
        <v>32</v>
      </c>
      <c r="B15" s="13" t="s">
        <v>64</v>
      </c>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spans="1:27" ht="18" customHeight="1" x14ac:dyDescent="0.2">
      <c r="A16" s="10" t="s">
        <v>33</v>
      </c>
      <c r="B16" s="13" t="s">
        <v>65</v>
      </c>
      <c r="C16" s="12"/>
      <c r="D16" s="12"/>
      <c r="E16" s="12"/>
      <c r="F16" s="12"/>
      <c r="G16" s="12"/>
      <c r="H16" s="12"/>
      <c r="I16" s="12"/>
      <c r="J16" s="12"/>
      <c r="K16" s="12"/>
      <c r="L16" s="12"/>
      <c r="M16" s="12"/>
      <c r="N16" s="12"/>
      <c r="O16" s="12"/>
      <c r="P16" s="12"/>
      <c r="Q16" s="12"/>
      <c r="R16" s="12"/>
      <c r="S16" s="12"/>
      <c r="T16" s="12"/>
      <c r="U16" s="12"/>
      <c r="V16" s="12"/>
      <c r="W16" s="12"/>
      <c r="X16" s="12"/>
      <c r="Y16" s="12"/>
      <c r="Z16" s="12"/>
      <c r="AA16" s="12"/>
    </row>
    <row r="17" spans="1:27" ht="18" customHeight="1" x14ac:dyDescent="0.2">
      <c r="A17" s="10" t="s">
        <v>34</v>
      </c>
      <c r="B17" s="13" t="s">
        <v>66</v>
      </c>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spans="1:27" ht="18" customHeight="1" x14ac:dyDescent="0.2">
      <c r="A18" s="10" t="s">
        <v>35</v>
      </c>
      <c r="B18" s="13" t="s">
        <v>67</v>
      </c>
      <c r="C18" s="12"/>
      <c r="D18" s="12"/>
      <c r="E18" s="12"/>
      <c r="F18" s="12"/>
      <c r="G18" s="12"/>
      <c r="H18" s="12"/>
      <c r="I18" s="12"/>
      <c r="J18" s="12"/>
      <c r="K18" s="12"/>
      <c r="L18" s="12"/>
      <c r="M18" s="12"/>
      <c r="N18" s="12"/>
      <c r="O18" s="12"/>
      <c r="P18" s="12"/>
      <c r="Q18" s="12"/>
      <c r="R18" s="12"/>
      <c r="S18" s="12"/>
      <c r="T18" s="12"/>
      <c r="U18" s="12"/>
      <c r="V18" s="12"/>
      <c r="W18" s="12"/>
      <c r="X18" s="12"/>
      <c r="Y18" s="12"/>
      <c r="Z18" s="12"/>
      <c r="AA18" s="12"/>
    </row>
    <row r="19" spans="1:27" ht="18" customHeight="1" x14ac:dyDescent="0.2">
      <c r="A19" s="10" t="s">
        <v>36</v>
      </c>
      <c r="B19" s="13" t="s">
        <v>68</v>
      </c>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spans="1:27" ht="18" customHeight="1" x14ac:dyDescent="0.2">
      <c r="A20" s="10" t="s">
        <v>37</v>
      </c>
      <c r="B20" s="2">
        <v>60</v>
      </c>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spans="1:27" ht="18" customHeight="1" x14ac:dyDescent="0.2">
      <c r="A21" s="10" t="s">
        <v>38</v>
      </c>
      <c r="B21" s="13">
        <v>75</v>
      </c>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spans="1:27" ht="18" customHeight="1" x14ac:dyDescent="0.2">
      <c r="A22" s="10" t="s">
        <v>39</v>
      </c>
      <c r="B22" s="13" t="s">
        <v>69</v>
      </c>
      <c r="C22" s="12"/>
      <c r="D22" s="12"/>
      <c r="E22" s="12"/>
      <c r="F22" s="12"/>
      <c r="G22" s="12"/>
      <c r="H22" s="12"/>
      <c r="I22" s="12"/>
      <c r="J22" s="12"/>
      <c r="K22" s="12"/>
      <c r="L22" s="12"/>
      <c r="M22" s="12"/>
      <c r="N22" s="12"/>
      <c r="O22" s="12"/>
      <c r="P22" s="12"/>
      <c r="Q22" s="12"/>
      <c r="R22" s="12"/>
      <c r="S22" s="12"/>
      <c r="T22" s="12"/>
      <c r="U22" s="12"/>
      <c r="V22" s="12"/>
      <c r="W22" s="12"/>
      <c r="X22" s="12"/>
      <c r="Y22" s="12"/>
      <c r="Z22" s="12"/>
      <c r="AA22" s="12"/>
    </row>
    <row r="23" spans="1:27" ht="18" customHeight="1" x14ac:dyDescent="0.2">
      <c r="A23" s="10" t="s">
        <v>40</v>
      </c>
      <c r="B23" s="13" t="s">
        <v>70</v>
      </c>
      <c r="C23" s="12"/>
      <c r="D23" s="12"/>
      <c r="E23" s="12"/>
      <c r="F23" s="12"/>
      <c r="G23" s="12"/>
      <c r="H23" s="12"/>
      <c r="I23" s="12"/>
      <c r="J23" s="12"/>
      <c r="K23" s="12"/>
      <c r="L23" s="12"/>
      <c r="M23" s="12"/>
      <c r="N23" s="12"/>
      <c r="O23" s="12"/>
      <c r="P23" s="12"/>
      <c r="Q23" s="12"/>
      <c r="R23" s="12"/>
      <c r="S23" s="12"/>
      <c r="T23" s="12"/>
      <c r="U23" s="12"/>
      <c r="V23" s="12"/>
      <c r="W23" s="12"/>
      <c r="X23" s="12"/>
      <c r="Y23" s="12"/>
      <c r="Z23" s="12"/>
      <c r="AA23" s="12"/>
    </row>
    <row r="24" spans="1:27" ht="18" customHeight="1" x14ac:dyDescent="0.2">
      <c r="A24" s="10" t="s">
        <v>41</v>
      </c>
      <c r="B24" s="13" t="s">
        <v>71</v>
      </c>
      <c r="C24" s="12"/>
      <c r="D24" s="12"/>
      <c r="E24" s="12"/>
      <c r="F24" s="12"/>
      <c r="G24" s="12"/>
      <c r="H24" s="12"/>
      <c r="I24" s="12"/>
      <c r="J24" s="12"/>
      <c r="K24" s="12"/>
      <c r="L24" s="12"/>
      <c r="M24" s="12"/>
      <c r="N24" s="12"/>
      <c r="O24" s="12"/>
      <c r="P24" s="12"/>
      <c r="Q24" s="12"/>
      <c r="R24" s="12"/>
      <c r="S24" s="12"/>
      <c r="T24" s="12"/>
      <c r="U24" s="12"/>
      <c r="V24" s="12"/>
      <c r="W24" s="12"/>
      <c r="X24" s="12"/>
      <c r="Y24" s="12"/>
      <c r="Z24" s="12"/>
      <c r="AA24" s="12"/>
    </row>
    <row r="25" spans="1:27" ht="18" customHeight="1" x14ac:dyDescent="0.2">
      <c r="A25" s="10" t="s">
        <v>42</v>
      </c>
      <c r="B25" s="13">
        <v>1061</v>
      </c>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spans="1:27" ht="18" customHeight="1" x14ac:dyDescent="0.2">
      <c r="A26" s="10" t="s">
        <v>43</v>
      </c>
      <c r="B26" s="13" t="s">
        <v>72</v>
      </c>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spans="1:27" ht="18" customHeight="1" x14ac:dyDescent="0.2">
      <c r="A27" s="10" t="s">
        <v>44</v>
      </c>
      <c r="B27" s="13" t="s">
        <v>73</v>
      </c>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spans="1:27" ht="18" customHeight="1" x14ac:dyDescent="0.2">
      <c r="A28" s="10" t="s">
        <v>45</v>
      </c>
      <c r="B28" s="13" t="s">
        <v>74</v>
      </c>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spans="1:27" ht="18" customHeight="1" x14ac:dyDescent="0.2">
      <c r="A29" s="10" t="s">
        <v>46</v>
      </c>
      <c r="B29" s="13" t="s">
        <v>75</v>
      </c>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spans="1:27" ht="18" customHeight="1" x14ac:dyDescent="0.2">
      <c r="A30" s="10" t="s">
        <v>47</v>
      </c>
      <c r="B30" s="16">
        <v>-1</v>
      </c>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spans="1:27" ht="18" customHeight="1" x14ac:dyDescent="0.2">
      <c r="A31" s="10" t="s">
        <v>48</v>
      </c>
      <c r="B31" s="13" t="s">
        <v>76</v>
      </c>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spans="1:27" ht="18" customHeight="1" x14ac:dyDescent="0.2">
      <c r="A32" s="10" t="s">
        <v>49</v>
      </c>
      <c r="B32" s="13" t="s">
        <v>77</v>
      </c>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spans="1:27" ht="18" customHeight="1" x14ac:dyDescent="0.2">
      <c r="A33" s="10" t="s">
        <v>50</v>
      </c>
      <c r="B33" s="13" t="s">
        <v>78</v>
      </c>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spans="1:27" ht="18" customHeight="1" x14ac:dyDescent="0.2">
      <c r="A34" s="10" t="s">
        <v>51</v>
      </c>
      <c r="B34" s="15">
        <v>386</v>
      </c>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spans="1:27" ht="18" customHeight="1" x14ac:dyDescent="0.2">
      <c r="A35" s="10" t="s">
        <v>52</v>
      </c>
      <c r="B35" s="15">
        <v>13</v>
      </c>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spans="1:27" ht="18" customHeight="1" x14ac:dyDescent="0.2">
      <c r="A36" s="10" t="s">
        <v>53</v>
      </c>
      <c r="B36" s="13">
        <v>175</v>
      </c>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spans="1:27" ht="18" customHeight="1" x14ac:dyDescent="0.2">
      <c r="A37" s="10" t="s">
        <v>54</v>
      </c>
      <c r="B37" s="17">
        <v>45656</v>
      </c>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spans="1:27" ht="18" customHeight="1" x14ac:dyDescent="0.2">
      <c r="A38" s="10" t="s">
        <v>55</v>
      </c>
      <c r="B38" s="17">
        <v>45660</v>
      </c>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spans="1:27" ht="18" customHeight="1" x14ac:dyDescent="0.2">
      <c r="A39" s="10" t="s">
        <v>56</v>
      </c>
      <c r="B39" s="17">
        <v>45800</v>
      </c>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spans="1:27" ht="18" customHeight="1" x14ac:dyDescent="0.2">
      <c r="A40" s="10" t="s">
        <v>57</v>
      </c>
      <c r="B40" s="13">
        <v>2</v>
      </c>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sheetData>
  <mergeCells count="1">
    <mergeCell ref="A1:B1"/>
  </mergeCells>
  <dataValidations count="9">
    <dataValidation type="list" allowBlank="1" showInputMessage="1" showErrorMessage="1" sqref="B2" xr:uid="{00000000-0002-0000-0100-000000000000}">
      <formula1>"Ben Stone, Brooke Gronemeier, Casey Pieper, Chase Lanier, Chris Leonhardt, Gavin Griffith, Joe Gonce, Joe Paliobagis"</formula1>
    </dataValidation>
    <dataValidation type="list" allowBlank="1" showInputMessage="1" showErrorMessage="1" sqref="B13" xr:uid="{00000000-0002-0000-0100-000001000000}">
      <formula1>"English, Metric"</formula1>
    </dataValidation>
    <dataValidation type="list" allowBlank="1" showInputMessage="1" showErrorMessage="1" sqref="B14" xr:uid="{00000000-0002-0000-0100-000002000000}">
      <formula1>"HCF, LCF"</formula1>
    </dataValidation>
    <dataValidation type="list" allowBlank="1" showInputMessage="1" showErrorMessage="1" sqref="B15" xr:uid="{00000000-0002-0000-0100-000003000000}">
      <formula1>"Yes, No"</formula1>
    </dataValidation>
    <dataValidation type="list" allowBlank="1" showInputMessage="1" showErrorMessage="1" sqref="B16" xr:uid="{00000000-0002-0000-0100-000004000000}">
      <formula1>"ASTM E466-21"</formula1>
    </dataValidation>
    <dataValidation type="list" allowBlank="1" showInputMessage="1" showErrorMessage="1" sqref="B17" xr:uid="{00000000-0002-0000-0100-000005000000}">
      <formula1>"Mfg &amp; Test, Test Only"</formula1>
    </dataValidation>
    <dataValidation type="list" allowBlank="1" showInputMessage="1" showErrorMessage="1" sqref="B28" xr:uid="{00000000-0002-0000-0100-000006000000}">
      <formula1>"Max, Alt"</formula1>
    </dataValidation>
    <dataValidation type="list" allowBlank="1" showInputMessage="1" showErrorMessage="1" sqref="B23" xr:uid="{00000000-0002-0000-0100-000007000000}">
      <formula1>"Round, Flat, Hollow, KB"</formula1>
    </dataValidation>
    <dataValidation type="list" allowBlank="1" showInputMessage="1" showErrorMessage="1" sqref="B29" xr:uid="{00000000-0002-0000-0100-000008000000}">
      <formula1>"R, A"</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50" r:id="rId3" name="Button 2">
              <controlPr defaultSize="0" print="0" autoFill="0" autoPict="0" macro="[0]!Customer_Info">
                <anchor moveWithCells="1" sizeWithCells="1">
                  <from>
                    <xdr:col>4</xdr:col>
                    <xdr:colOff>228600</xdr:colOff>
                    <xdr:row>1</xdr:row>
                    <xdr:rowOff>85725</xdr:rowOff>
                  </from>
                  <to>
                    <xdr:col>5</xdr:col>
                    <xdr:colOff>771525</xdr:colOff>
                    <xdr:row>6</xdr:row>
                    <xdr:rowOff>209550</xdr:rowOff>
                  </to>
                </anchor>
              </controlPr>
            </control>
          </mc:Choice>
        </mc:AlternateContent>
        <mc:AlternateContent xmlns:mc="http://schemas.openxmlformats.org/markup-compatibility/2006">
          <mc:Choice Requires="x14">
            <control shapeId="2051" r:id="rId4" name="Button 3">
              <controlPr defaultSize="0" print="0" autoFill="0" autoPict="0" macro="[0]!Load_Repeat_Setup">
                <anchor moveWithCells="1" sizeWithCells="1">
                  <from>
                    <xdr:col>6</xdr:col>
                    <xdr:colOff>304800</xdr:colOff>
                    <xdr:row>1</xdr:row>
                    <xdr:rowOff>85725</xdr:rowOff>
                  </from>
                  <to>
                    <xdr:col>8</xdr:col>
                    <xdr:colOff>9525</xdr:colOff>
                    <xdr:row>6</xdr:row>
                    <xdr:rowOff>209550</xdr:rowOff>
                  </to>
                </anchor>
              </controlPr>
            </control>
          </mc:Choice>
        </mc:AlternateContent>
        <mc:AlternateContent xmlns:mc="http://schemas.openxmlformats.org/markup-compatibility/2006">
          <mc:Choice Requires="x14">
            <control shapeId="2052" r:id="rId5" name="Button 4">
              <controlPr defaultSize="0" print="0" autoFill="0" autoPict="0" macro="[0]!Load_Setup">
                <anchor moveWithCells="1" sizeWithCells="1">
                  <from>
                    <xdr:col>4</xdr:col>
                    <xdr:colOff>228600</xdr:colOff>
                    <xdr:row>8</xdr:row>
                    <xdr:rowOff>76200</xdr:rowOff>
                  </from>
                  <to>
                    <xdr:col>8</xdr:col>
                    <xdr:colOff>9525</xdr:colOff>
                    <xdr:row>13</xdr:row>
                    <xdr:rowOff>200025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44"/>
  <sheetViews>
    <sheetView workbookViewId="0"/>
  </sheetViews>
  <sheetFormatPr defaultRowHeight="12.75" x14ac:dyDescent="0.2"/>
  <cols>
    <col min="1" max="2" width="24.7109375" customWidth="1"/>
    <col min="3" max="3" width="12.7109375" customWidth="1"/>
    <col min="4" max="4" width="15.7109375" customWidth="1"/>
    <col min="5" max="5" width="24.7109375" customWidth="1"/>
  </cols>
  <sheetData>
    <row r="1" spans="1:5" x14ac:dyDescent="0.2">
      <c r="A1" s="37" t="s">
        <v>70</v>
      </c>
      <c r="B1" s="11"/>
      <c r="C1" s="11"/>
      <c r="D1" s="11"/>
      <c r="E1" s="11"/>
    </row>
    <row r="2" spans="1:5" ht="20.25" x14ac:dyDescent="0.2">
      <c r="A2" s="122" t="s">
        <v>95</v>
      </c>
      <c r="B2" s="122"/>
      <c r="C2" s="122"/>
      <c r="D2" s="122"/>
      <c r="E2" s="122"/>
    </row>
    <row r="3" spans="1:5" ht="15.75" customHeight="1" x14ac:dyDescent="0.2">
      <c r="A3" s="11"/>
      <c r="B3" s="137"/>
      <c r="C3" s="137"/>
      <c r="D3" s="137"/>
      <c r="E3" s="11"/>
    </row>
    <row r="4" spans="1:5" x14ac:dyDescent="0.2">
      <c r="A4" s="138" t="s">
        <v>96</v>
      </c>
      <c r="B4" s="138"/>
      <c r="C4" s="138"/>
      <c r="D4" s="138"/>
      <c r="E4" s="138"/>
    </row>
    <row r="5" spans="1:5" x14ac:dyDescent="0.2">
      <c r="A5" s="138" t="s">
        <v>97</v>
      </c>
      <c r="B5" s="138"/>
      <c r="C5" s="138"/>
      <c r="D5" s="138"/>
      <c r="E5" s="138"/>
    </row>
    <row r="6" spans="1:5" x14ac:dyDescent="0.2">
      <c r="A6" s="11"/>
      <c r="B6" s="37" t="str">
        <f>LEFT(B7, 11)</f>
        <v>4048-111379</v>
      </c>
      <c r="C6" s="37" t="str">
        <f>RIGHT(B7, 12)</f>
        <v>10-123-01-01</v>
      </c>
      <c r="D6" s="11"/>
      <c r="E6" s="11"/>
    </row>
    <row r="7" spans="1:5" x14ac:dyDescent="0.2">
      <c r="A7" s="29" t="s">
        <v>98</v>
      </c>
      <c r="B7" s="38" t="s">
        <v>99</v>
      </c>
      <c r="C7" s="11"/>
      <c r="D7" s="29" t="s">
        <v>101</v>
      </c>
      <c r="E7" s="38" t="s">
        <v>59</v>
      </c>
    </row>
    <row r="8" spans="1:5" x14ac:dyDescent="0.2">
      <c r="A8" s="29" t="s">
        <v>44</v>
      </c>
      <c r="B8" s="38" t="s">
        <v>73</v>
      </c>
      <c r="C8" s="11"/>
      <c r="D8" s="29" t="s">
        <v>4</v>
      </c>
      <c r="E8" s="38" t="s">
        <v>20</v>
      </c>
    </row>
    <row r="9" spans="1:5" x14ac:dyDescent="0.2">
      <c r="A9" s="29" t="s">
        <v>100</v>
      </c>
      <c r="B9" s="39">
        <v>45656</v>
      </c>
      <c r="C9" s="11"/>
      <c r="D9" s="29" t="s">
        <v>102</v>
      </c>
      <c r="E9" s="40">
        <v>38994</v>
      </c>
    </row>
    <row r="10" spans="1:5" x14ac:dyDescent="0.2">
      <c r="A10" s="29" t="s">
        <v>1</v>
      </c>
      <c r="B10" s="38" t="s">
        <v>16</v>
      </c>
      <c r="C10" s="11"/>
      <c r="D10" s="29" t="s">
        <v>103</v>
      </c>
      <c r="E10" s="38">
        <v>30</v>
      </c>
    </row>
    <row r="11" spans="1:5" ht="13.5" thickBot="1" x14ac:dyDescent="0.25">
      <c r="A11" s="11"/>
      <c r="B11" s="11"/>
      <c r="C11" s="11"/>
      <c r="D11" s="11"/>
      <c r="E11" s="11"/>
    </row>
    <row r="12" spans="1:5" ht="13.5" thickTop="1" x14ac:dyDescent="0.2">
      <c r="A12" s="41" t="s">
        <v>104</v>
      </c>
      <c r="B12" s="42" t="s">
        <v>105</v>
      </c>
      <c r="C12" s="125" t="s">
        <v>106</v>
      </c>
      <c r="D12" s="126"/>
      <c r="E12" s="127"/>
    </row>
    <row r="13" spans="1:5" ht="30" customHeight="1" x14ac:dyDescent="0.2">
      <c r="A13" s="44" t="s">
        <v>107</v>
      </c>
      <c r="B13" s="43" t="s">
        <v>178</v>
      </c>
      <c r="C13" s="128"/>
      <c r="D13" s="129"/>
      <c r="E13" s="130"/>
    </row>
    <row r="14" spans="1:5" ht="30" customHeight="1" x14ac:dyDescent="0.2">
      <c r="A14" s="44" t="s">
        <v>108</v>
      </c>
      <c r="B14" s="43" t="s">
        <v>178</v>
      </c>
      <c r="C14" s="128"/>
      <c r="D14" s="129"/>
      <c r="E14" s="130"/>
    </row>
    <row r="15" spans="1:5" ht="30" customHeight="1" x14ac:dyDescent="0.2">
      <c r="A15" s="44" t="s">
        <v>109</v>
      </c>
      <c r="B15" s="43" t="s">
        <v>64</v>
      </c>
      <c r="C15" s="128"/>
      <c r="D15" s="129"/>
      <c r="E15" s="130"/>
    </row>
    <row r="16" spans="1:5" ht="30" customHeight="1" x14ac:dyDescent="0.2">
      <c r="A16" s="44" t="s">
        <v>110</v>
      </c>
      <c r="B16" s="43" t="s">
        <v>64</v>
      </c>
      <c r="C16" s="128" t="s">
        <v>72</v>
      </c>
      <c r="D16" s="129"/>
      <c r="E16" s="130"/>
    </row>
    <row r="17" spans="1:5" ht="75" customHeight="1" x14ac:dyDescent="0.2">
      <c r="A17" s="44" t="s">
        <v>111</v>
      </c>
      <c r="B17" s="43" t="s">
        <v>178</v>
      </c>
      <c r="C17" s="128" t="s">
        <v>210</v>
      </c>
      <c r="D17" s="129"/>
      <c r="E17" s="130"/>
    </row>
    <row r="18" spans="1:5" ht="30" customHeight="1" x14ac:dyDescent="0.2">
      <c r="A18" s="44" t="s">
        <v>112</v>
      </c>
      <c r="B18" s="43" t="s">
        <v>64</v>
      </c>
      <c r="C18" s="128"/>
      <c r="D18" s="129"/>
      <c r="E18" s="130"/>
    </row>
    <row r="19" spans="1:5" ht="30" customHeight="1" x14ac:dyDescent="0.2">
      <c r="A19" s="44" t="s">
        <v>113</v>
      </c>
      <c r="B19" s="43" t="s">
        <v>64</v>
      </c>
      <c r="C19" s="128"/>
      <c r="D19" s="129"/>
      <c r="E19" s="130"/>
    </row>
    <row r="20" spans="1:5" ht="30" customHeight="1" x14ac:dyDescent="0.2">
      <c r="A20" s="44" t="s">
        <v>115</v>
      </c>
      <c r="B20" s="43" t="s">
        <v>178</v>
      </c>
      <c r="C20" s="128" t="s">
        <v>179</v>
      </c>
      <c r="D20" s="129"/>
      <c r="E20" s="130"/>
    </row>
    <row r="21" spans="1:5" ht="30" customHeight="1" x14ac:dyDescent="0.2">
      <c r="A21" s="44" t="s">
        <v>116</v>
      </c>
      <c r="B21" s="43" t="s">
        <v>64</v>
      </c>
      <c r="C21" s="128"/>
      <c r="D21" s="129"/>
      <c r="E21" s="130"/>
    </row>
    <row r="22" spans="1:5" ht="30" customHeight="1" thickBot="1" x14ac:dyDescent="0.25">
      <c r="A22" s="46" t="s">
        <v>117</v>
      </c>
      <c r="B22" s="45" t="s">
        <v>178</v>
      </c>
      <c r="C22" s="131"/>
      <c r="D22" s="132"/>
      <c r="E22" s="133"/>
    </row>
    <row r="23" spans="1:5" ht="30" hidden="1" customHeight="1" thickBot="1" x14ac:dyDescent="0.25">
      <c r="A23" s="98"/>
      <c r="B23" s="99"/>
      <c r="C23" s="134"/>
      <c r="D23" s="135"/>
      <c r="E23" s="136"/>
    </row>
    <row r="24" spans="1:5" ht="13.5" thickTop="1" x14ac:dyDescent="0.2"/>
    <row r="25" spans="1:5" x14ac:dyDescent="0.2">
      <c r="A25" s="35" t="s">
        <v>114</v>
      </c>
    </row>
    <row r="26" spans="1:5" x14ac:dyDescent="0.2">
      <c r="A26" s="52" t="s">
        <v>180</v>
      </c>
      <c r="B26" s="52" t="s">
        <v>195</v>
      </c>
    </row>
    <row r="27" spans="1:5" x14ac:dyDescent="0.2">
      <c r="A27" s="52" t="s">
        <v>181</v>
      </c>
      <c r="B27" s="52" t="s">
        <v>196</v>
      </c>
    </row>
    <row r="28" spans="1:5" x14ac:dyDescent="0.2">
      <c r="A28" s="52" t="s">
        <v>182</v>
      </c>
      <c r="B28" s="52" t="s">
        <v>197</v>
      </c>
    </row>
    <row r="29" spans="1:5" x14ac:dyDescent="0.2">
      <c r="A29" s="52" t="s">
        <v>183</v>
      </c>
      <c r="B29" s="52" t="s">
        <v>198</v>
      </c>
    </row>
    <row r="30" spans="1:5" x14ac:dyDescent="0.2">
      <c r="A30" s="52" t="s">
        <v>184</v>
      </c>
      <c r="B30" s="52" t="s">
        <v>199</v>
      </c>
    </row>
    <row r="31" spans="1:5" x14ac:dyDescent="0.2">
      <c r="A31" s="52" t="s">
        <v>185</v>
      </c>
      <c r="B31" s="52" t="s">
        <v>200</v>
      </c>
    </row>
    <row r="32" spans="1:5" x14ac:dyDescent="0.2">
      <c r="A32" s="52" t="s">
        <v>186</v>
      </c>
      <c r="B32" s="52" t="s">
        <v>201</v>
      </c>
    </row>
    <row r="33" spans="1:5" x14ac:dyDescent="0.2">
      <c r="A33" s="52" t="s">
        <v>187</v>
      </c>
      <c r="B33" s="52" t="s">
        <v>202</v>
      </c>
    </row>
    <row r="34" spans="1:5" x14ac:dyDescent="0.2">
      <c r="A34" s="52" t="s">
        <v>188</v>
      </c>
      <c r="B34" s="52" t="s">
        <v>203</v>
      </c>
    </row>
    <row r="35" spans="1:5" x14ac:dyDescent="0.2">
      <c r="A35" s="52" t="s">
        <v>189</v>
      </c>
      <c r="B35" s="52" t="s">
        <v>204</v>
      </c>
    </row>
    <row r="36" spans="1:5" x14ac:dyDescent="0.2">
      <c r="A36" s="52" t="s">
        <v>190</v>
      </c>
      <c r="B36" s="52" t="s">
        <v>205</v>
      </c>
    </row>
    <row r="37" spans="1:5" x14ac:dyDescent="0.2">
      <c r="A37" s="52" t="s">
        <v>191</v>
      </c>
      <c r="B37" s="52" t="s">
        <v>206</v>
      </c>
    </row>
    <row r="38" spans="1:5" x14ac:dyDescent="0.2">
      <c r="A38" s="52" t="s">
        <v>192</v>
      </c>
      <c r="B38" s="52" t="s">
        <v>207</v>
      </c>
    </row>
    <row r="39" spans="1:5" x14ac:dyDescent="0.2">
      <c r="A39" s="52" t="s">
        <v>193</v>
      </c>
      <c r="B39" s="52" t="s">
        <v>208</v>
      </c>
    </row>
    <row r="40" spans="1:5" x14ac:dyDescent="0.2">
      <c r="A40" s="52" t="s">
        <v>194</v>
      </c>
      <c r="B40" s="52" t="s">
        <v>209</v>
      </c>
    </row>
    <row r="44" spans="1:5" x14ac:dyDescent="0.2">
      <c r="A44" s="21"/>
      <c r="B44" s="21"/>
      <c r="C44" s="21"/>
      <c r="D44" s="21"/>
      <c r="E44" s="21"/>
    </row>
  </sheetData>
  <mergeCells count="16">
    <mergeCell ref="C22:E22"/>
    <mergeCell ref="C23:E23"/>
    <mergeCell ref="B3:D3"/>
    <mergeCell ref="C15:E15"/>
    <mergeCell ref="C16:E16"/>
    <mergeCell ref="C17:E17"/>
    <mergeCell ref="C18:E18"/>
    <mergeCell ref="C19:E19"/>
    <mergeCell ref="C20:E20"/>
    <mergeCell ref="A4:E4"/>
    <mergeCell ref="A5:E5"/>
    <mergeCell ref="A2:E2"/>
    <mergeCell ref="C12:E12"/>
    <mergeCell ref="C13:E13"/>
    <mergeCell ref="C14:E14"/>
    <mergeCell ref="C21:E21"/>
  </mergeCells>
  <dataValidations count="1">
    <dataValidation type="list" allowBlank="1" showInputMessage="1" showErrorMessage="1" sqref="B13:B23" xr:uid="{00000000-0002-0000-0300-000000000000}">
      <formula1>"Yes, No"</formula1>
    </dataValidation>
  </dataValidations>
  <pageMargins left="0.7" right="0.7" top="0.75" bottom="0.75" header="0.3" footer="0.3"/>
  <pageSetup scale="82"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22" r:id="rId4" name="Button 2">
              <controlPr defaultSize="0" print="0" autoFill="0" autoPict="0" macro="[0]!Mfg_Repeat_Info">
                <anchor moveWithCells="1" sizeWithCells="1">
                  <from>
                    <xdr:col>6</xdr:col>
                    <xdr:colOff>104775</xdr:colOff>
                    <xdr:row>6</xdr:row>
                    <xdr:rowOff>95250</xdr:rowOff>
                  </from>
                  <to>
                    <xdr:col>9</xdr:col>
                    <xdr:colOff>180975</xdr:colOff>
                    <xdr:row>11</xdr:row>
                    <xdr:rowOff>38100</xdr:rowOff>
                  </to>
                </anchor>
              </controlPr>
            </control>
          </mc:Choice>
        </mc:AlternateContent>
        <mc:AlternateContent xmlns:mc="http://schemas.openxmlformats.org/markup-compatibility/2006">
          <mc:Choice Requires="x14">
            <control shapeId="5123" r:id="rId5" name="Button 3">
              <controlPr defaultSize="0" print="0" autoFill="0" autoPict="0" macro="[0]!Send_to_Mfg_Folder">
                <anchor moveWithCells="1" sizeWithCells="1">
                  <from>
                    <xdr:col>6</xdr:col>
                    <xdr:colOff>104775</xdr:colOff>
                    <xdr:row>12</xdr:row>
                    <xdr:rowOff>123825</xdr:rowOff>
                  </from>
                  <to>
                    <xdr:col>9</xdr:col>
                    <xdr:colOff>180975</xdr:colOff>
                    <xdr:row>14</xdr:row>
                    <xdr:rowOff>123825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44"/>
  <sheetViews>
    <sheetView workbookViewId="0"/>
  </sheetViews>
  <sheetFormatPr defaultRowHeight="12.75" x14ac:dyDescent="0.2"/>
  <cols>
    <col min="1" max="2" width="24.7109375" customWidth="1"/>
    <col min="3" max="3" width="12.7109375" customWidth="1"/>
    <col min="4" max="4" width="15.7109375" customWidth="1"/>
    <col min="5" max="5" width="24.7109375" customWidth="1"/>
  </cols>
  <sheetData>
    <row r="1" spans="1:5" x14ac:dyDescent="0.2">
      <c r="A1" s="37" t="s">
        <v>70</v>
      </c>
      <c r="B1" s="11"/>
      <c r="C1" s="11"/>
      <c r="D1" s="11"/>
      <c r="E1" s="11"/>
    </row>
    <row r="2" spans="1:5" ht="20.25" x14ac:dyDescent="0.2">
      <c r="A2" s="122" t="s">
        <v>95</v>
      </c>
      <c r="B2" s="122"/>
      <c r="C2" s="122"/>
      <c r="D2" s="122"/>
      <c r="E2" s="122"/>
    </row>
    <row r="3" spans="1:5" ht="15.75" customHeight="1" x14ac:dyDescent="0.2">
      <c r="A3" s="11"/>
      <c r="B3" s="137"/>
      <c r="C3" s="137"/>
      <c r="D3" s="137"/>
      <c r="E3" s="11"/>
    </row>
    <row r="4" spans="1:5" x14ac:dyDescent="0.2">
      <c r="A4" s="138" t="s">
        <v>96</v>
      </c>
      <c r="B4" s="138"/>
      <c r="C4" s="138"/>
      <c r="D4" s="138"/>
      <c r="E4" s="138"/>
    </row>
    <row r="5" spans="1:5" x14ac:dyDescent="0.2">
      <c r="A5" s="138" t="s">
        <v>97</v>
      </c>
      <c r="B5" s="138"/>
      <c r="C5" s="138"/>
      <c r="D5" s="138"/>
      <c r="E5" s="138"/>
    </row>
    <row r="6" spans="1:5" x14ac:dyDescent="0.2">
      <c r="A6" s="11"/>
      <c r="B6" s="37" t="str">
        <f>LEFT(B7, 11)</f>
        <v>4048-111379</v>
      </c>
      <c r="C6" s="37" t="str">
        <f>RIGHT(B7, 12)</f>
        <v>10-123-01-01</v>
      </c>
      <c r="D6" s="11"/>
      <c r="E6" s="11"/>
    </row>
    <row r="7" spans="1:5" x14ac:dyDescent="0.2">
      <c r="A7" s="29" t="s">
        <v>98</v>
      </c>
      <c r="B7" s="38" t="s">
        <v>99</v>
      </c>
      <c r="C7" s="11"/>
      <c r="D7" s="29" t="s">
        <v>101</v>
      </c>
      <c r="E7" s="38" t="s">
        <v>59</v>
      </c>
    </row>
    <row r="8" spans="1:5" x14ac:dyDescent="0.2">
      <c r="A8" s="29" t="s">
        <v>44</v>
      </c>
      <c r="B8" s="38" t="s">
        <v>73</v>
      </c>
      <c r="C8" s="11"/>
      <c r="D8" s="29" t="s">
        <v>4</v>
      </c>
      <c r="E8" s="38" t="s">
        <v>20</v>
      </c>
    </row>
    <row r="9" spans="1:5" x14ac:dyDescent="0.2">
      <c r="A9" s="29" t="s">
        <v>100</v>
      </c>
      <c r="B9" s="39">
        <v>45656</v>
      </c>
      <c r="C9" s="11"/>
      <c r="D9" s="29" t="s">
        <v>102</v>
      </c>
      <c r="E9" s="40">
        <v>38995</v>
      </c>
    </row>
    <row r="10" spans="1:5" x14ac:dyDescent="0.2">
      <c r="A10" s="29" t="s">
        <v>1</v>
      </c>
      <c r="B10" s="38" t="s">
        <v>16</v>
      </c>
      <c r="C10" s="11"/>
      <c r="D10" s="29" t="s">
        <v>103</v>
      </c>
      <c r="E10" s="38">
        <v>30</v>
      </c>
    </row>
    <row r="11" spans="1:5" ht="13.5" thickBot="1" x14ac:dyDescent="0.25">
      <c r="A11" s="11"/>
      <c r="B11" s="11"/>
      <c r="C11" s="11"/>
      <c r="D11" s="11"/>
      <c r="E11" s="11"/>
    </row>
    <row r="12" spans="1:5" ht="13.5" thickTop="1" x14ac:dyDescent="0.2">
      <c r="A12" s="41" t="s">
        <v>104</v>
      </c>
      <c r="B12" s="42" t="s">
        <v>105</v>
      </c>
      <c r="C12" s="125" t="s">
        <v>106</v>
      </c>
      <c r="D12" s="126"/>
      <c r="E12" s="127"/>
    </row>
    <row r="13" spans="1:5" ht="30" customHeight="1" x14ac:dyDescent="0.2">
      <c r="A13" s="44" t="s">
        <v>107</v>
      </c>
      <c r="B13" s="43" t="s">
        <v>178</v>
      </c>
      <c r="C13" s="128"/>
      <c r="D13" s="129"/>
      <c r="E13" s="130"/>
    </row>
    <row r="14" spans="1:5" ht="30" customHeight="1" x14ac:dyDescent="0.2">
      <c r="A14" s="44" t="s">
        <v>108</v>
      </c>
      <c r="B14" s="43" t="s">
        <v>178</v>
      </c>
      <c r="C14" s="128"/>
      <c r="D14" s="129"/>
      <c r="E14" s="130"/>
    </row>
    <row r="15" spans="1:5" ht="30" customHeight="1" x14ac:dyDescent="0.2">
      <c r="A15" s="44" t="s">
        <v>109</v>
      </c>
      <c r="B15" s="43" t="s">
        <v>64</v>
      </c>
      <c r="C15" s="128"/>
      <c r="D15" s="129"/>
      <c r="E15" s="130"/>
    </row>
    <row r="16" spans="1:5" ht="30" customHeight="1" x14ac:dyDescent="0.2">
      <c r="A16" s="44" t="s">
        <v>110</v>
      </c>
      <c r="B16" s="43" t="s">
        <v>64</v>
      </c>
      <c r="C16" s="128" t="s">
        <v>72</v>
      </c>
      <c r="D16" s="129"/>
      <c r="E16" s="130"/>
    </row>
    <row r="17" spans="1:5" ht="75" customHeight="1" x14ac:dyDescent="0.2">
      <c r="A17" s="44" t="s">
        <v>111</v>
      </c>
      <c r="B17" s="43" t="s">
        <v>178</v>
      </c>
      <c r="C17" s="128" t="s">
        <v>210</v>
      </c>
      <c r="D17" s="129"/>
      <c r="E17" s="130"/>
    </row>
    <row r="18" spans="1:5" ht="30" customHeight="1" x14ac:dyDescent="0.2">
      <c r="A18" s="44" t="s">
        <v>112</v>
      </c>
      <c r="B18" s="43" t="s">
        <v>64</v>
      </c>
      <c r="C18" s="128"/>
      <c r="D18" s="129"/>
      <c r="E18" s="130"/>
    </row>
    <row r="19" spans="1:5" ht="30" customHeight="1" x14ac:dyDescent="0.2">
      <c r="A19" s="44" t="s">
        <v>113</v>
      </c>
      <c r="B19" s="43" t="s">
        <v>64</v>
      </c>
      <c r="C19" s="128"/>
      <c r="D19" s="129"/>
      <c r="E19" s="130"/>
    </row>
    <row r="20" spans="1:5" ht="30" customHeight="1" x14ac:dyDescent="0.2">
      <c r="A20" s="44" t="s">
        <v>115</v>
      </c>
      <c r="B20" s="43" t="s">
        <v>178</v>
      </c>
      <c r="C20" s="128" t="s">
        <v>179</v>
      </c>
      <c r="D20" s="129"/>
      <c r="E20" s="130"/>
    </row>
    <row r="21" spans="1:5" ht="30" customHeight="1" x14ac:dyDescent="0.2">
      <c r="A21" s="44" t="s">
        <v>116</v>
      </c>
      <c r="B21" s="43" t="s">
        <v>64</v>
      </c>
      <c r="C21" s="128"/>
      <c r="D21" s="129"/>
      <c r="E21" s="130"/>
    </row>
    <row r="22" spans="1:5" ht="30" customHeight="1" thickBot="1" x14ac:dyDescent="0.25">
      <c r="A22" s="46" t="s">
        <v>117</v>
      </c>
      <c r="B22" s="45" t="s">
        <v>178</v>
      </c>
      <c r="C22" s="131"/>
      <c r="D22" s="132"/>
      <c r="E22" s="133"/>
    </row>
    <row r="23" spans="1:5" ht="30" hidden="1" customHeight="1" thickBot="1" x14ac:dyDescent="0.25">
      <c r="A23" s="98"/>
      <c r="B23" s="99"/>
      <c r="C23" s="134"/>
      <c r="D23" s="135"/>
      <c r="E23" s="136"/>
    </row>
    <row r="24" spans="1:5" ht="13.5" thickTop="1" x14ac:dyDescent="0.2"/>
    <row r="25" spans="1:5" x14ac:dyDescent="0.2">
      <c r="A25" s="35" t="s">
        <v>114</v>
      </c>
    </row>
    <row r="26" spans="1:5" x14ac:dyDescent="0.2">
      <c r="A26" s="52" t="s">
        <v>211</v>
      </c>
      <c r="B26" s="52" t="s">
        <v>226</v>
      </c>
    </row>
    <row r="27" spans="1:5" x14ac:dyDescent="0.2">
      <c r="A27" s="52" t="s">
        <v>212</v>
      </c>
      <c r="B27" s="52" t="s">
        <v>227</v>
      </c>
    </row>
    <row r="28" spans="1:5" x14ac:dyDescent="0.2">
      <c r="A28" s="52" t="s">
        <v>213</v>
      </c>
      <c r="B28" s="52" t="s">
        <v>228</v>
      </c>
    </row>
    <row r="29" spans="1:5" x14ac:dyDescent="0.2">
      <c r="A29" s="52" t="s">
        <v>214</v>
      </c>
      <c r="B29" s="52" t="s">
        <v>229</v>
      </c>
    </row>
    <row r="30" spans="1:5" x14ac:dyDescent="0.2">
      <c r="A30" s="52" t="s">
        <v>215</v>
      </c>
      <c r="B30" s="52" t="s">
        <v>230</v>
      </c>
    </row>
    <row r="31" spans="1:5" x14ac:dyDescent="0.2">
      <c r="A31" s="52" t="s">
        <v>216</v>
      </c>
      <c r="B31" s="52" t="s">
        <v>231</v>
      </c>
    </row>
    <row r="32" spans="1:5" x14ac:dyDescent="0.2">
      <c r="A32" s="52" t="s">
        <v>217</v>
      </c>
      <c r="B32" s="52" t="s">
        <v>232</v>
      </c>
    </row>
    <row r="33" spans="1:5" x14ac:dyDescent="0.2">
      <c r="A33" s="52" t="s">
        <v>218</v>
      </c>
      <c r="B33" s="52" t="s">
        <v>233</v>
      </c>
    </row>
    <row r="34" spans="1:5" x14ac:dyDescent="0.2">
      <c r="A34" s="52" t="s">
        <v>219</v>
      </c>
      <c r="B34" s="52" t="s">
        <v>234</v>
      </c>
    </row>
    <row r="35" spans="1:5" x14ac:dyDescent="0.2">
      <c r="A35" s="52" t="s">
        <v>220</v>
      </c>
      <c r="B35" s="52" t="s">
        <v>235</v>
      </c>
    </row>
    <row r="36" spans="1:5" x14ac:dyDescent="0.2">
      <c r="A36" s="52" t="s">
        <v>221</v>
      </c>
      <c r="B36" s="52" t="s">
        <v>236</v>
      </c>
    </row>
    <row r="37" spans="1:5" x14ac:dyDescent="0.2">
      <c r="A37" s="52" t="s">
        <v>222</v>
      </c>
      <c r="B37" s="52" t="s">
        <v>237</v>
      </c>
    </row>
    <row r="38" spans="1:5" x14ac:dyDescent="0.2">
      <c r="A38" s="52" t="s">
        <v>223</v>
      </c>
      <c r="B38" s="52" t="s">
        <v>238</v>
      </c>
    </row>
    <row r="39" spans="1:5" x14ac:dyDescent="0.2">
      <c r="A39" s="52" t="s">
        <v>224</v>
      </c>
      <c r="B39" s="52" t="s">
        <v>239</v>
      </c>
    </row>
    <row r="40" spans="1:5" x14ac:dyDescent="0.2">
      <c r="A40" s="52" t="s">
        <v>225</v>
      </c>
      <c r="B40" s="52" t="s">
        <v>240</v>
      </c>
    </row>
    <row r="44" spans="1:5" x14ac:dyDescent="0.2">
      <c r="A44" s="21"/>
      <c r="B44" s="21"/>
      <c r="C44" s="21"/>
      <c r="D44" s="21"/>
      <c r="E44" s="21"/>
    </row>
  </sheetData>
  <mergeCells count="16">
    <mergeCell ref="C20:E20"/>
    <mergeCell ref="C21:E21"/>
    <mergeCell ref="C22:E22"/>
    <mergeCell ref="C23:E23"/>
    <mergeCell ref="C14:E14"/>
    <mergeCell ref="C15:E15"/>
    <mergeCell ref="C16:E16"/>
    <mergeCell ref="C17:E17"/>
    <mergeCell ref="C18:E18"/>
    <mergeCell ref="C19:E19"/>
    <mergeCell ref="C13:E13"/>
    <mergeCell ref="A2:E2"/>
    <mergeCell ref="B3:D3"/>
    <mergeCell ref="A4:E4"/>
    <mergeCell ref="A5:E5"/>
    <mergeCell ref="C12:E12"/>
  </mergeCells>
  <dataValidations count="1">
    <dataValidation type="list" allowBlank="1" showInputMessage="1" showErrorMessage="1" sqref="B13:B23" xr:uid="{00000000-0002-0000-0400-000000000000}">
      <formula1>"Yes, No"</formula1>
    </dataValidation>
  </dataValidations>
  <pageMargins left="0.7" right="0.7" top="0.75" bottom="0.75" header="0.3" footer="0.3"/>
  <pageSetup scale="82"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utton 1">
              <controlPr defaultSize="0" print="0" autoFill="0" autoPict="0" macro="[0]!Mfg_Repeat_Info">
                <anchor moveWithCells="1" sizeWithCells="1">
                  <from>
                    <xdr:col>6</xdr:col>
                    <xdr:colOff>104775</xdr:colOff>
                    <xdr:row>6</xdr:row>
                    <xdr:rowOff>95250</xdr:rowOff>
                  </from>
                  <to>
                    <xdr:col>9</xdr:col>
                    <xdr:colOff>180975</xdr:colOff>
                    <xdr:row>11</xdr:row>
                    <xdr:rowOff>38100</xdr:rowOff>
                  </to>
                </anchor>
              </controlPr>
            </control>
          </mc:Choice>
        </mc:AlternateContent>
        <mc:AlternateContent xmlns:mc="http://schemas.openxmlformats.org/markup-compatibility/2006">
          <mc:Choice Requires="x14">
            <control shapeId="13314" r:id="rId5" name="Button 2">
              <controlPr defaultSize="0" print="0" autoFill="0" autoPict="0" macro="[0]!Send_to_Mfg_Folder">
                <anchor moveWithCells="1" sizeWithCells="1">
                  <from>
                    <xdr:col>6</xdr:col>
                    <xdr:colOff>104775</xdr:colOff>
                    <xdr:row>12</xdr:row>
                    <xdr:rowOff>123825</xdr:rowOff>
                  </from>
                  <to>
                    <xdr:col>9</xdr:col>
                    <xdr:colOff>180975</xdr:colOff>
                    <xdr:row>14</xdr:row>
                    <xdr:rowOff>123825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B18"/>
  <sheetViews>
    <sheetView workbookViewId="0"/>
  </sheetViews>
  <sheetFormatPr defaultRowHeight="12.75" x14ac:dyDescent="0.2"/>
  <cols>
    <col min="1" max="1" width="30.7109375" style="19" customWidth="1"/>
    <col min="2" max="2" width="50.7109375" style="19" customWidth="1"/>
  </cols>
  <sheetData>
    <row r="1" spans="1:2" x14ac:dyDescent="0.2">
      <c r="A1" s="19" t="s">
        <v>118</v>
      </c>
    </row>
    <row r="3" spans="1:2" x14ac:dyDescent="0.2">
      <c r="A3" s="19" t="s">
        <v>1</v>
      </c>
      <c r="B3" s="19" t="s">
        <v>119</v>
      </c>
    </row>
    <row r="4" spans="1:2" x14ac:dyDescent="0.2">
      <c r="A4" s="19" t="s">
        <v>120</v>
      </c>
      <c r="B4" s="19">
        <v>4048</v>
      </c>
    </row>
    <row r="5" spans="1:2" x14ac:dyDescent="0.2">
      <c r="A5" s="19" t="s">
        <v>121</v>
      </c>
      <c r="B5" s="19">
        <v>111379</v>
      </c>
    </row>
    <row r="6" spans="1:2" x14ac:dyDescent="0.2">
      <c r="A6" s="33" t="s">
        <v>241</v>
      </c>
      <c r="B6" s="33" t="s">
        <v>242</v>
      </c>
    </row>
    <row r="7" spans="1:2" x14ac:dyDescent="0.2">
      <c r="A7" s="19" t="s">
        <v>122</v>
      </c>
      <c r="B7" s="19" t="s">
        <v>67</v>
      </c>
    </row>
    <row r="8" spans="1:2" x14ac:dyDescent="0.2">
      <c r="A8" s="19" t="s">
        <v>123</v>
      </c>
      <c r="B8" s="19">
        <v>60</v>
      </c>
    </row>
    <row r="9" spans="1:2" x14ac:dyDescent="0.2">
      <c r="A9" s="33" t="s">
        <v>124</v>
      </c>
      <c r="B9" s="33">
        <v>175</v>
      </c>
    </row>
    <row r="10" spans="1:2" x14ac:dyDescent="0.2">
      <c r="A10" s="19" t="s">
        <v>125</v>
      </c>
      <c r="B10" s="30">
        <v>45660</v>
      </c>
    </row>
    <row r="11" spans="1:2" x14ac:dyDescent="0.2">
      <c r="A11" s="19" t="s">
        <v>40</v>
      </c>
      <c r="B11" s="19" t="s">
        <v>69</v>
      </c>
    </row>
    <row r="12" spans="1:2" x14ac:dyDescent="0.2">
      <c r="A12" s="19" t="s">
        <v>126</v>
      </c>
      <c r="B12" s="30">
        <v>45800</v>
      </c>
    </row>
    <row r="13" spans="1:2" x14ac:dyDescent="0.2">
      <c r="A13" s="19" t="s">
        <v>44</v>
      </c>
      <c r="B13" s="19" t="s">
        <v>73</v>
      </c>
    </row>
    <row r="14" spans="1:2" x14ac:dyDescent="0.2">
      <c r="A14" s="19" t="s">
        <v>127</v>
      </c>
      <c r="B14" s="19" t="s">
        <v>72</v>
      </c>
    </row>
    <row r="15" spans="1:2" x14ac:dyDescent="0.2">
      <c r="A15" s="19" t="s">
        <v>128</v>
      </c>
      <c r="B15" s="19">
        <v>2</v>
      </c>
    </row>
    <row r="16" spans="1:2" x14ac:dyDescent="0.2">
      <c r="A16" s="19" t="s">
        <v>88</v>
      </c>
      <c r="B16" s="19" t="s">
        <v>76</v>
      </c>
    </row>
    <row r="17" spans="1:2" ht="13.5" thickBot="1" x14ac:dyDescent="0.25">
      <c r="A17" s="47" t="s">
        <v>86</v>
      </c>
      <c r="B17" s="47" t="s">
        <v>87</v>
      </c>
    </row>
    <row r="18" spans="1:2" ht="13.5" thickTop="1" x14ac:dyDescent="0.2"/>
  </sheetData>
  <pageMargins left="0.25" right="0.25"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
  <sheetViews>
    <sheetView workbookViewId="0">
      <selection sqref="A1:E1"/>
    </sheetView>
  </sheetViews>
  <sheetFormatPr defaultRowHeight="12.75" x14ac:dyDescent="0.2"/>
  <cols>
    <col min="1" max="5" width="9.7109375" customWidth="1"/>
  </cols>
  <sheetData>
    <row r="1" spans="1:5" ht="38.25" thickTop="1" x14ac:dyDescent="0.2">
      <c r="A1" s="142" t="s">
        <v>19</v>
      </c>
      <c r="B1" s="143"/>
      <c r="C1" s="143"/>
      <c r="D1" s="143"/>
      <c r="E1" s="144"/>
    </row>
    <row r="2" spans="1:5" ht="20.25" x14ac:dyDescent="0.2">
      <c r="A2" s="145" t="s">
        <v>67</v>
      </c>
      <c r="B2" s="122"/>
      <c r="C2" s="122"/>
      <c r="D2" s="122"/>
      <c r="E2" s="146"/>
    </row>
    <row r="3" spans="1:5" ht="20.25" x14ac:dyDescent="0.2">
      <c r="A3" s="145" t="s">
        <v>129</v>
      </c>
      <c r="B3" s="122"/>
      <c r="C3" s="122"/>
      <c r="D3" s="122"/>
      <c r="E3" s="146"/>
    </row>
    <row r="4" spans="1:5" ht="20.25" x14ac:dyDescent="0.2">
      <c r="A4" s="145" t="s">
        <v>69</v>
      </c>
      <c r="B4" s="122"/>
      <c r="C4" s="122"/>
      <c r="D4" s="122"/>
      <c r="E4" s="146"/>
    </row>
    <row r="5" spans="1:5" ht="20.25" x14ac:dyDescent="0.2">
      <c r="A5" s="145" t="s">
        <v>130</v>
      </c>
      <c r="B5" s="122"/>
      <c r="C5" s="122"/>
      <c r="D5" s="122"/>
      <c r="E5" s="146"/>
    </row>
    <row r="6" spans="1:5" ht="21" thickBot="1" x14ac:dyDescent="0.25">
      <c r="A6" s="139" t="s">
        <v>119</v>
      </c>
      <c r="B6" s="140"/>
      <c r="C6" s="140"/>
      <c r="D6" s="140"/>
      <c r="E6" s="141"/>
    </row>
    <row r="7" spans="1:5" ht="13.5" thickTop="1" x14ac:dyDescent="0.2"/>
    <row r="8" spans="1:5" ht="99.95" customHeight="1" thickBot="1" x14ac:dyDescent="0.25"/>
    <row r="9" spans="1:5" ht="69.95" customHeight="1" thickTop="1" thickBot="1" x14ac:dyDescent="0.25">
      <c r="A9" s="48" t="s">
        <v>119</v>
      </c>
      <c r="B9" s="49" t="s">
        <v>130</v>
      </c>
      <c r="C9" s="50" t="s">
        <v>67</v>
      </c>
      <c r="D9" s="49" t="s">
        <v>19</v>
      </c>
      <c r="E9" s="51" t="s">
        <v>131</v>
      </c>
    </row>
    <row r="10" spans="1:5" ht="13.5" thickTop="1" x14ac:dyDescent="0.2"/>
  </sheetData>
  <mergeCells count="6">
    <mergeCell ref="A6:E6"/>
    <mergeCell ref="A1:E1"/>
    <mergeCell ref="A2:E2"/>
    <mergeCell ref="A3:E3"/>
    <mergeCell ref="A4:E4"/>
    <mergeCell ref="A5:E5"/>
  </mergeCells>
  <printOptions horizontalCentered="1" verticalCentered="1"/>
  <pageMargins left="0.1" right="0.1" top="0.1" bottom="0.6"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Button 1">
              <controlPr defaultSize="0" print="0" autoFill="0" autoPict="0" macro="[0]!Print_Binder_Label">
                <anchor moveWithCells="1" sizeWithCells="1">
                  <from>
                    <xdr:col>6</xdr:col>
                    <xdr:colOff>590550</xdr:colOff>
                    <xdr:row>0</xdr:row>
                    <xdr:rowOff>314325</xdr:rowOff>
                  </from>
                  <to>
                    <xdr:col>9</xdr:col>
                    <xdr:colOff>38100</xdr:colOff>
                    <xdr:row>5</xdr:row>
                    <xdr:rowOff>66675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
  <sheetViews>
    <sheetView workbookViewId="0"/>
  </sheetViews>
  <sheetFormatPr defaultRowHeight="12.75" x14ac:dyDescent="0.2"/>
  <sheetData/>
  <pageMargins left="0.7" right="0.7" top="0.75" bottom="0.75" header="0.3" footer="0.3"/>
  <pageSetup scale="97"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50"/>
  <sheetViews>
    <sheetView workbookViewId="0"/>
  </sheetViews>
  <sheetFormatPr defaultRowHeight="12.75" x14ac:dyDescent="0.2"/>
  <sheetData>
    <row r="1" spans="1:10" x14ac:dyDescent="0.2">
      <c r="A1" s="57"/>
      <c r="B1" s="58"/>
      <c r="C1" s="58"/>
      <c r="D1" s="58"/>
      <c r="E1" s="58"/>
      <c r="F1" s="58"/>
      <c r="G1" s="58"/>
      <c r="H1" s="58"/>
      <c r="I1" s="58"/>
      <c r="J1" s="36"/>
    </row>
    <row r="2" spans="1:10" ht="18" x14ac:dyDescent="0.25">
      <c r="A2" s="147" t="s">
        <v>132</v>
      </c>
      <c r="B2" s="148"/>
      <c r="C2" s="148"/>
      <c r="D2" s="148"/>
      <c r="E2" s="148"/>
      <c r="F2" s="148"/>
      <c r="G2" s="148"/>
      <c r="H2" s="148"/>
      <c r="I2" s="148"/>
      <c r="J2" s="149"/>
    </row>
    <row r="3" spans="1:10" ht="15" x14ac:dyDescent="0.2">
      <c r="A3" s="55"/>
      <c r="B3" s="54"/>
      <c r="C3" s="54"/>
      <c r="D3" s="54"/>
      <c r="E3" s="54"/>
      <c r="F3" s="54"/>
      <c r="G3" s="54"/>
      <c r="H3" s="54"/>
      <c r="I3" s="54"/>
      <c r="J3" s="61"/>
    </row>
    <row r="4" spans="1:10" ht="15" x14ac:dyDescent="0.2">
      <c r="A4" s="55"/>
      <c r="B4" s="54"/>
      <c r="C4" s="54"/>
      <c r="D4" s="54"/>
      <c r="E4" s="54"/>
      <c r="F4" s="54"/>
      <c r="G4" s="54"/>
      <c r="H4" s="54"/>
      <c r="I4" s="54"/>
      <c r="J4" s="61"/>
    </row>
    <row r="5" spans="1:10" ht="15" x14ac:dyDescent="0.2">
      <c r="A5" s="55"/>
      <c r="B5" s="54" t="s">
        <v>133</v>
      </c>
      <c r="C5" s="54"/>
      <c r="D5" s="54" t="s">
        <v>134</v>
      </c>
      <c r="E5" s="54"/>
      <c r="F5" s="54"/>
      <c r="G5" s="54"/>
      <c r="H5" s="54"/>
      <c r="I5" s="54"/>
      <c r="J5" s="61"/>
    </row>
    <row r="6" spans="1:10" ht="15" x14ac:dyDescent="0.2">
      <c r="A6" s="55"/>
      <c r="B6" s="54"/>
      <c r="C6" s="54"/>
      <c r="D6" s="54"/>
      <c r="E6" s="54"/>
      <c r="F6" s="54"/>
      <c r="G6" s="54"/>
      <c r="H6" s="54"/>
      <c r="I6" s="54"/>
      <c r="J6" s="61"/>
    </row>
    <row r="7" spans="1:10" ht="15" x14ac:dyDescent="0.2">
      <c r="A7" s="55"/>
      <c r="B7" s="54" t="s">
        <v>139</v>
      </c>
      <c r="C7" s="54"/>
      <c r="D7" s="54"/>
      <c r="E7" s="54"/>
      <c r="F7" s="54"/>
      <c r="G7" s="54"/>
      <c r="H7" s="54"/>
      <c r="I7" s="54"/>
      <c r="J7" s="61"/>
    </row>
    <row r="8" spans="1:10" ht="15" x14ac:dyDescent="0.2">
      <c r="A8" s="55"/>
      <c r="B8" s="54"/>
      <c r="C8" s="54"/>
      <c r="D8" s="54"/>
      <c r="E8" s="54"/>
      <c r="F8" s="54"/>
      <c r="G8" s="54"/>
      <c r="H8" s="54"/>
      <c r="I8" s="54"/>
      <c r="J8" s="61"/>
    </row>
    <row r="9" spans="1:10" ht="15" x14ac:dyDescent="0.2">
      <c r="A9" s="55"/>
      <c r="B9" s="54" t="s">
        <v>140</v>
      </c>
      <c r="C9" s="54"/>
      <c r="D9" s="54"/>
      <c r="E9" s="54"/>
      <c r="F9" s="54"/>
      <c r="G9" s="54"/>
      <c r="H9" s="54"/>
      <c r="I9" s="54"/>
      <c r="J9" s="61"/>
    </row>
    <row r="10" spans="1:10" ht="15" x14ac:dyDescent="0.2">
      <c r="A10" s="55"/>
      <c r="B10" s="54"/>
      <c r="C10" s="54"/>
      <c r="D10" s="54"/>
      <c r="E10" s="54"/>
      <c r="F10" s="54"/>
      <c r="G10" s="54"/>
      <c r="H10" s="54"/>
      <c r="I10" s="54"/>
      <c r="J10" s="61"/>
    </row>
    <row r="11" spans="1:10" ht="15" x14ac:dyDescent="0.2">
      <c r="A11" s="55"/>
      <c r="B11" s="54"/>
      <c r="C11" s="54"/>
      <c r="D11" s="54"/>
      <c r="E11" s="54"/>
      <c r="F11" s="54"/>
      <c r="G11" s="54"/>
      <c r="H11" s="54"/>
      <c r="I11" s="54"/>
      <c r="J11" s="61"/>
    </row>
    <row r="12" spans="1:10" ht="15" x14ac:dyDescent="0.2">
      <c r="A12" s="55"/>
      <c r="B12" s="54"/>
      <c r="C12" s="54"/>
      <c r="D12" s="54"/>
      <c r="E12" s="54"/>
      <c r="F12" s="54"/>
      <c r="G12" s="54"/>
      <c r="H12" s="54"/>
      <c r="I12" s="54"/>
      <c r="J12" s="61"/>
    </row>
    <row r="13" spans="1:10" ht="15" x14ac:dyDescent="0.2">
      <c r="A13" s="55"/>
      <c r="B13" s="54"/>
      <c r="C13" s="54"/>
      <c r="D13" s="54"/>
      <c r="E13" s="54"/>
      <c r="F13" s="54"/>
      <c r="G13" s="54"/>
      <c r="H13" s="54"/>
      <c r="I13" s="54"/>
      <c r="J13" s="61"/>
    </row>
    <row r="14" spans="1:10" ht="15" x14ac:dyDescent="0.2">
      <c r="A14" s="55"/>
      <c r="B14" s="54"/>
      <c r="C14" s="54"/>
      <c r="D14" s="54"/>
      <c r="E14" s="54"/>
      <c r="F14" s="54"/>
      <c r="G14" s="54"/>
      <c r="H14" s="54"/>
      <c r="I14" s="54"/>
      <c r="J14" s="61"/>
    </row>
    <row r="15" spans="1:10" ht="15" x14ac:dyDescent="0.2">
      <c r="A15" s="55"/>
      <c r="B15" s="54"/>
      <c r="C15" s="54"/>
      <c r="D15" s="54"/>
      <c r="E15" s="54"/>
      <c r="F15" s="54"/>
      <c r="G15" s="54"/>
      <c r="H15" s="54"/>
      <c r="I15" s="54"/>
      <c r="J15" s="61"/>
    </row>
    <row r="16" spans="1:10" ht="15" x14ac:dyDescent="0.2">
      <c r="A16" s="55"/>
      <c r="B16" s="54"/>
      <c r="C16" s="54"/>
      <c r="D16" s="54"/>
      <c r="E16" s="54"/>
      <c r="F16" s="54"/>
      <c r="G16" s="54"/>
      <c r="H16" s="54"/>
      <c r="I16" s="54"/>
      <c r="J16" s="61"/>
    </row>
    <row r="17" spans="1:10" ht="15" x14ac:dyDescent="0.2">
      <c r="A17" s="55"/>
      <c r="B17" s="54"/>
      <c r="C17" s="54"/>
      <c r="D17" s="54"/>
      <c r="E17" s="54"/>
      <c r="F17" s="54"/>
      <c r="G17" s="54"/>
      <c r="H17" s="54"/>
      <c r="I17" s="54"/>
      <c r="J17" s="61"/>
    </row>
    <row r="18" spans="1:10" ht="15" x14ac:dyDescent="0.2">
      <c r="A18" s="55"/>
      <c r="B18" s="54"/>
      <c r="C18" s="54"/>
      <c r="D18" s="54"/>
      <c r="E18" s="54"/>
      <c r="F18" s="54"/>
      <c r="G18" s="54"/>
      <c r="H18" s="54"/>
      <c r="I18" s="54"/>
      <c r="J18" s="61"/>
    </row>
    <row r="19" spans="1:10" ht="15" x14ac:dyDescent="0.2">
      <c r="A19" s="55"/>
      <c r="B19" s="54"/>
      <c r="C19" s="54"/>
      <c r="D19" s="54"/>
      <c r="E19" s="54"/>
      <c r="F19" s="54"/>
      <c r="G19" s="54"/>
      <c r="H19" s="54"/>
      <c r="I19" s="54"/>
      <c r="J19" s="61"/>
    </row>
    <row r="20" spans="1:10" ht="15" x14ac:dyDescent="0.2">
      <c r="A20" s="55"/>
      <c r="B20" s="54"/>
      <c r="C20" s="54"/>
      <c r="D20" s="54"/>
      <c r="E20" s="54"/>
      <c r="F20" s="54"/>
      <c r="G20" s="54"/>
      <c r="H20" s="54"/>
      <c r="I20" s="54"/>
      <c r="J20" s="61"/>
    </row>
    <row r="21" spans="1:10" ht="15" x14ac:dyDescent="0.2">
      <c r="A21" s="55"/>
      <c r="B21" s="54"/>
      <c r="C21" s="54"/>
      <c r="D21" s="54"/>
      <c r="E21" s="54"/>
      <c r="F21" s="54"/>
      <c r="G21" s="54"/>
      <c r="H21" s="54"/>
      <c r="I21" s="54"/>
      <c r="J21" s="61"/>
    </row>
    <row r="22" spans="1:10" ht="15" x14ac:dyDescent="0.2">
      <c r="A22" s="55"/>
      <c r="B22" s="54"/>
      <c r="C22" s="54"/>
      <c r="D22" s="54"/>
      <c r="E22" s="54"/>
      <c r="F22" s="54"/>
      <c r="G22" s="54"/>
      <c r="H22" s="54"/>
      <c r="I22" s="54"/>
      <c r="J22" s="61"/>
    </row>
    <row r="23" spans="1:10" ht="15" x14ac:dyDescent="0.2">
      <c r="A23" s="55"/>
      <c r="B23" s="54"/>
      <c r="C23" s="54"/>
      <c r="D23" s="54"/>
      <c r="E23" s="54"/>
      <c r="F23" s="54"/>
      <c r="G23" s="54"/>
      <c r="H23" s="54"/>
      <c r="I23" s="54"/>
      <c r="J23" s="61"/>
    </row>
    <row r="24" spans="1:10" ht="15" x14ac:dyDescent="0.2">
      <c r="A24" s="55"/>
      <c r="B24" s="54"/>
      <c r="C24" s="54"/>
      <c r="D24" s="54"/>
      <c r="E24" s="54"/>
      <c r="F24" s="54"/>
      <c r="G24" s="54"/>
      <c r="H24" s="54"/>
      <c r="I24" s="54"/>
      <c r="J24" s="61"/>
    </row>
    <row r="25" spans="1:10" ht="15" x14ac:dyDescent="0.2">
      <c r="A25" s="55"/>
      <c r="B25" s="54"/>
      <c r="C25" s="54"/>
      <c r="D25" s="54"/>
      <c r="E25" s="54"/>
      <c r="F25" s="54"/>
      <c r="G25" s="54"/>
      <c r="H25" s="54"/>
      <c r="I25" s="54"/>
      <c r="J25" s="61"/>
    </row>
    <row r="26" spans="1:10" ht="15" x14ac:dyDescent="0.2">
      <c r="A26" s="55"/>
      <c r="B26" s="54"/>
      <c r="C26" s="54"/>
      <c r="D26" s="54"/>
      <c r="E26" s="54"/>
      <c r="F26" s="54"/>
      <c r="G26" s="54"/>
      <c r="H26" s="54"/>
      <c r="I26" s="54"/>
      <c r="J26" s="61"/>
    </row>
    <row r="27" spans="1:10" ht="15" x14ac:dyDescent="0.2">
      <c r="A27" s="55"/>
      <c r="B27" s="54"/>
      <c r="C27" s="54"/>
      <c r="D27" s="54"/>
      <c r="E27" s="54"/>
      <c r="F27" s="54"/>
      <c r="G27" s="54"/>
      <c r="H27" s="54"/>
      <c r="I27" s="54"/>
      <c r="J27" s="61"/>
    </row>
    <row r="28" spans="1:10" ht="15" x14ac:dyDescent="0.2">
      <c r="A28" s="55"/>
      <c r="B28" s="54"/>
      <c r="C28" s="54"/>
      <c r="D28" s="54"/>
      <c r="E28" s="54"/>
      <c r="F28" s="54"/>
      <c r="G28" s="54"/>
      <c r="H28" s="54"/>
      <c r="I28" s="54"/>
      <c r="J28" s="61"/>
    </row>
    <row r="29" spans="1:10" ht="15" x14ac:dyDescent="0.2">
      <c r="A29" s="55"/>
      <c r="B29" s="54"/>
      <c r="C29" s="54"/>
      <c r="D29" s="54"/>
      <c r="E29" s="54"/>
      <c r="F29" s="54"/>
      <c r="G29" s="54"/>
      <c r="H29" s="54"/>
      <c r="I29" s="54"/>
      <c r="J29" s="61"/>
    </row>
    <row r="30" spans="1:10" ht="15" x14ac:dyDescent="0.2">
      <c r="A30" s="55"/>
      <c r="B30" s="54"/>
      <c r="C30" s="54"/>
      <c r="D30" s="54"/>
      <c r="E30" s="54"/>
      <c r="F30" s="54"/>
      <c r="G30" s="54"/>
      <c r="H30" s="54"/>
      <c r="I30" s="54"/>
      <c r="J30" s="61"/>
    </row>
    <row r="31" spans="1:10" ht="15" x14ac:dyDescent="0.2">
      <c r="A31" s="55"/>
      <c r="B31" s="54"/>
      <c r="C31" s="54"/>
      <c r="D31" s="54"/>
      <c r="E31" s="54"/>
      <c r="F31" s="54"/>
      <c r="G31" s="54"/>
      <c r="H31" s="54"/>
      <c r="I31" s="54"/>
      <c r="J31" s="61"/>
    </row>
    <row r="32" spans="1:10" ht="15" x14ac:dyDescent="0.2">
      <c r="A32" s="55"/>
      <c r="B32" s="54"/>
      <c r="C32" s="54"/>
      <c r="D32" s="54"/>
      <c r="E32" s="54"/>
      <c r="F32" s="54"/>
      <c r="G32" s="54"/>
      <c r="H32" s="54"/>
      <c r="I32" s="54"/>
      <c r="J32" s="61"/>
    </row>
    <row r="33" spans="1:10" ht="15" x14ac:dyDescent="0.2">
      <c r="A33" s="55"/>
      <c r="B33" s="54"/>
      <c r="C33" s="54"/>
      <c r="D33" s="54"/>
      <c r="E33" s="54"/>
      <c r="F33" s="54"/>
      <c r="G33" s="54"/>
      <c r="H33" s="54"/>
      <c r="I33" s="54"/>
      <c r="J33" s="61"/>
    </row>
    <row r="34" spans="1:10" ht="15" x14ac:dyDescent="0.2">
      <c r="A34" s="55"/>
      <c r="B34" s="54"/>
      <c r="C34" s="54"/>
      <c r="D34" s="54"/>
      <c r="E34" s="54"/>
      <c r="F34" s="54"/>
      <c r="G34" s="54"/>
      <c r="H34" s="54"/>
      <c r="I34" s="54"/>
      <c r="J34" s="61"/>
    </row>
    <row r="35" spans="1:10" ht="15" x14ac:dyDescent="0.2">
      <c r="A35" s="55"/>
      <c r="B35" s="54"/>
      <c r="C35" s="54"/>
      <c r="D35" s="54"/>
      <c r="E35" s="54"/>
      <c r="F35" s="54"/>
      <c r="G35" s="54"/>
      <c r="H35" s="54"/>
      <c r="I35" s="54"/>
      <c r="J35" s="61"/>
    </row>
    <row r="36" spans="1:10" ht="15" x14ac:dyDescent="0.2">
      <c r="A36" s="55"/>
      <c r="B36" s="54"/>
      <c r="C36" s="54"/>
      <c r="D36" s="54"/>
      <c r="E36" s="54"/>
      <c r="F36" s="54"/>
      <c r="G36" s="54"/>
      <c r="H36" s="54"/>
      <c r="I36" s="54"/>
      <c r="J36" s="61"/>
    </row>
    <row r="37" spans="1:10" ht="15" x14ac:dyDescent="0.2">
      <c r="A37" s="55"/>
      <c r="B37" s="54"/>
      <c r="C37" s="54"/>
      <c r="D37" s="54"/>
      <c r="E37" s="54"/>
      <c r="F37" s="54"/>
      <c r="G37" s="54"/>
      <c r="H37" s="54"/>
      <c r="I37" s="54"/>
      <c r="J37" s="61"/>
    </row>
    <row r="38" spans="1:10" ht="15" x14ac:dyDescent="0.2">
      <c r="A38" s="55"/>
      <c r="B38" s="54"/>
      <c r="C38" s="54"/>
      <c r="D38" s="54"/>
      <c r="E38" s="54"/>
      <c r="F38" s="54"/>
      <c r="G38" s="54"/>
      <c r="H38" s="54"/>
      <c r="I38" s="54"/>
      <c r="J38" s="61"/>
    </row>
    <row r="39" spans="1:10" ht="15" x14ac:dyDescent="0.2">
      <c r="A39" s="55"/>
      <c r="B39" s="54"/>
      <c r="C39" s="54"/>
      <c r="D39" s="54"/>
      <c r="E39" s="54"/>
      <c r="F39" s="54"/>
      <c r="G39" s="54"/>
      <c r="H39" s="54"/>
      <c r="I39" s="54"/>
      <c r="J39" s="61"/>
    </row>
    <row r="40" spans="1:10" ht="15" x14ac:dyDescent="0.2">
      <c r="A40" s="55"/>
      <c r="B40" s="54"/>
      <c r="C40" s="54"/>
      <c r="D40" s="54"/>
      <c r="E40" s="54"/>
      <c r="F40" s="54"/>
      <c r="G40" s="54"/>
      <c r="H40" s="54"/>
      <c r="I40" s="54"/>
      <c r="J40" s="61"/>
    </row>
    <row r="41" spans="1:10" ht="15" x14ac:dyDescent="0.2">
      <c r="A41" s="55"/>
      <c r="B41" s="54"/>
      <c r="C41" s="54"/>
      <c r="D41" s="54"/>
      <c r="E41" s="54"/>
      <c r="F41" s="54"/>
      <c r="G41" s="54"/>
      <c r="H41" s="54"/>
      <c r="I41" s="54"/>
      <c r="J41" s="61"/>
    </row>
    <row r="42" spans="1:10" ht="15" x14ac:dyDescent="0.2">
      <c r="A42" s="55"/>
      <c r="B42" s="54"/>
      <c r="C42" s="54"/>
      <c r="D42" s="54"/>
      <c r="E42" s="54"/>
      <c r="F42" s="54"/>
      <c r="G42" s="54"/>
      <c r="H42" s="54"/>
      <c r="I42" s="54"/>
      <c r="J42" s="61"/>
    </row>
    <row r="43" spans="1:10" ht="15" x14ac:dyDescent="0.2">
      <c r="A43" s="55"/>
      <c r="B43" s="54"/>
      <c r="C43" s="54"/>
      <c r="D43" s="54"/>
      <c r="E43" s="54"/>
      <c r="F43" s="54"/>
      <c r="G43" s="54"/>
      <c r="H43" s="54"/>
      <c r="I43" s="54"/>
      <c r="J43" s="61"/>
    </row>
    <row r="44" spans="1:10" ht="15" x14ac:dyDescent="0.2">
      <c r="A44" s="55"/>
      <c r="B44" s="54"/>
      <c r="C44" s="54"/>
      <c r="D44" s="54"/>
      <c r="E44" s="54"/>
      <c r="F44" s="54"/>
      <c r="G44" s="54"/>
      <c r="H44" s="54"/>
      <c r="I44" s="54"/>
      <c r="J44" s="61"/>
    </row>
    <row r="45" spans="1:10" ht="15.75" x14ac:dyDescent="0.25">
      <c r="A45" s="55"/>
      <c r="B45" s="150" t="s">
        <v>135</v>
      </c>
      <c r="C45" s="150"/>
      <c r="D45" s="150"/>
      <c r="E45" s="150"/>
      <c r="F45" s="150"/>
      <c r="G45" s="150"/>
      <c r="H45" s="150"/>
      <c r="I45" s="150"/>
      <c r="J45" s="61"/>
    </row>
    <row r="46" spans="1:10" ht="15" x14ac:dyDescent="0.2">
      <c r="A46" s="55"/>
      <c r="B46" s="54"/>
      <c r="C46" s="54"/>
      <c r="D46" s="54"/>
      <c r="E46" s="54"/>
      <c r="F46" s="54"/>
      <c r="G46" s="54"/>
      <c r="H46" s="54"/>
      <c r="I46" s="54"/>
      <c r="J46" s="61"/>
    </row>
    <row r="47" spans="1:10" ht="15" x14ac:dyDescent="0.2">
      <c r="A47" s="55"/>
      <c r="B47" s="151" t="s">
        <v>136</v>
      </c>
      <c r="C47" s="152"/>
      <c r="D47" s="56"/>
      <c r="E47" s="151" t="s">
        <v>137</v>
      </c>
      <c r="F47" s="152"/>
      <c r="G47" s="56"/>
      <c r="H47" s="151" t="s">
        <v>138</v>
      </c>
      <c r="I47" s="152"/>
      <c r="J47" s="61"/>
    </row>
    <row r="48" spans="1:10" ht="15" x14ac:dyDescent="0.2">
      <c r="A48" s="55"/>
      <c r="B48" s="153"/>
      <c r="C48" s="154"/>
      <c r="D48" s="56"/>
      <c r="E48" s="153"/>
      <c r="F48" s="154"/>
      <c r="G48" s="56"/>
      <c r="H48" s="153"/>
      <c r="I48" s="154"/>
      <c r="J48" s="61"/>
    </row>
    <row r="49" spans="1:10" ht="15" x14ac:dyDescent="0.2">
      <c r="A49" s="59"/>
      <c r="B49" s="60"/>
      <c r="C49" s="60"/>
      <c r="D49" s="60"/>
      <c r="E49" s="60"/>
      <c r="F49" s="60"/>
      <c r="G49" s="60"/>
      <c r="H49" s="60"/>
      <c r="I49" s="60"/>
      <c r="J49" s="62"/>
    </row>
    <row r="50" spans="1:10" ht="15" x14ac:dyDescent="0.2">
      <c r="A50" s="54"/>
      <c r="B50" s="54"/>
      <c r="C50" s="54"/>
      <c r="D50" s="54"/>
      <c r="E50" s="54"/>
      <c r="F50" s="54"/>
      <c r="G50" s="54"/>
      <c r="H50" s="54"/>
      <c r="I50" s="54"/>
      <c r="J50" s="54"/>
    </row>
  </sheetData>
  <mergeCells count="5">
    <mergeCell ref="A2:J2"/>
    <mergeCell ref="B45:I45"/>
    <mergeCell ref="B47:C48"/>
    <mergeCell ref="E47:F48"/>
    <mergeCell ref="H47:I48"/>
  </mergeCells>
  <printOptions horizontalCentered="1"/>
  <pageMargins left="0.25" right="0.25" top="0.75" bottom="0.75" header="0.3" footer="0.3"/>
  <pageSetup scale="9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45"/>
  <sheetViews>
    <sheetView workbookViewId="0"/>
  </sheetViews>
  <sheetFormatPr defaultRowHeight="12.75" x14ac:dyDescent="0.2"/>
  <sheetData>
    <row r="1" spans="1:10" x14ac:dyDescent="0.2">
      <c r="A1" s="64"/>
      <c r="B1" s="65"/>
      <c r="C1" s="65"/>
      <c r="D1" s="65"/>
      <c r="E1" s="65"/>
      <c r="F1" s="65"/>
      <c r="G1" s="65"/>
      <c r="H1" s="65"/>
      <c r="I1" s="65"/>
      <c r="J1" s="68"/>
    </row>
    <row r="2" spans="1:10" x14ac:dyDescent="0.2">
      <c r="A2" s="63"/>
      <c r="B2" s="18"/>
      <c r="C2" s="18"/>
      <c r="D2" s="18"/>
      <c r="E2" s="18"/>
      <c r="F2" s="18"/>
      <c r="G2" s="18"/>
      <c r="H2" s="18"/>
      <c r="I2" s="18"/>
      <c r="J2" s="69"/>
    </row>
    <row r="3" spans="1:10" x14ac:dyDescent="0.2">
      <c r="A3" s="63"/>
      <c r="B3" s="18"/>
      <c r="C3" s="18"/>
      <c r="D3" s="18"/>
      <c r="E3" s="18"/>
      <c r="F3" s="18"/>
      <c r="G3" s="18"/>
      <c r="H3" s="18"/>
      <c r="I3" s="18"/>
      <c r="J3" s="69"/>
    </row>
    <row r="4" spans="1:10" x14ac:dyDescent="0.2">
      <c r="A4" s="63"/>
      <c r="B4" s="18"/>
      <c r="C4" s="18"/>
      <c r="D4" s="18"/>
      <c r="E4" s="18"/>
      <c r="F4" s="18"/>
      <c r="G4" s="18"/>
      <c r="H4" s="18"/>
      <c r="I4" s="18"/>
      <c r="J4" s="69"/>
    </row>
    <row r="5" spans="1:10" x14ac:dyDescent="0.2">
      <c r="A5" s="63"/>
      <c r="B5" s="18" t="s">
        <v>133</v>
      </c>
      <c r="C5" s="18"/>
      <c r="D5" s="18" t="s">
        <v>19</v>
      </c>
      <c r="E5" s="18"/>
      <c r="F5" s="18"/>
      <c r="G5" s="18"/>
      <c r="H5" s="18"/>
      <c r="I5" s="18"/>
      <c r="J5" s="69"/>
    </row>
    <row r="6" spans="1:10" x14ac:dyDescent="0.2">
      <c r="A6" s="63"/>
      <c r="B6" s="18"/>
      <c r="C6" s="18"/>
      <c r="D6" s="18"/>
      <c r="E6" s="18"/>
      <c r="F6" s="18"/>
      <c r="G6" s="18"/>
      <c r="H6" s="18"/>
      <c r="I6" s="18"/>
      <c r="J6" s="69"/>
    </row>
    <row r="7" spans="1:10" x14ac:dyDescent="0.2">
      <c r="A7" s="63"/>
      <c r="B7" s="18"/>
      <c r="C7" s="18"/>
      <c r="D7" s="18"/>
      <c r="E7" s="18"/>
      <c r="F7" s="18"/>
      <c r="G7" s="18"/>
      <c r="H7" s="18"/>
      <c r="I7" s="18"/>
      <c r="J7" s="69"/>
    </row>
    <row r="8" spans="1:10" x14ac:dyDescent="0.2">
      <c r="A8" s="63"/>
      <c r="B8" s="18"/>
      <c r="C8" s="18"/>
      <c r="D8" s="18"/>
      <c r="E8" s="18"/>
      <c r="F8" s="18"/>
      <c r="G8" s="18"/>
      <c r="H8" s="18"/>
      <c r="I8" s="18"/>
      <c r="J8" s="69"/>
    </row>
    <row r="9" spans="1:10" x14ac:dyDescent="0.2">
      <c r="A9" s="63"/>
      <c r="B9" s="18"/>
      <c r="C9" s="18"/>
      <c r="D9" s="18"/>
      <c r="E9" s="18"/>
      <c r="F9" s="18"/>
      <c r="G9" s="18"/>
      <c r="H9" s="18"/>
      <c r="I9" s="18"/>
      <c r="J9" s="69"/>
    </row>
    <row r="10" spans="1:10" x14ac:dyDescent="0.2">
      <c r="A10" s="63"/>
      <c r="B10" s="18"/>
      <c r="C10" s="18"/>
      <c r="D10" s="18"/>
      <c r="E10" s="18"/>
      <c r="F10" s="18"/>
      <c r="G10" s="18"/>
      <c r="H10" s="18"/>
      <c r="I10" s="18"/>
      <c r="J10" s="69"/>
    </row>
    <row r="11" spans="1:10" x14ac:dyDescent="0.2">
      <c r="A11" s="63"/>
      <c r="B11" s="18"/>
      <c r="C11" s="18"/>
      <c r="D11" s="18"/>
      <c r="E11" s="18"/>
      <c r="F11" s="18"/>
      <c r="G11" s="18"/>
      <c r="H11" s="18"/>
      <c r="I11" s="18"/>
      <c r="J11" s="69"/>
    </row>
    <row r="12" spans="1:10" x14ac:dyDescent="0.2">
      <c r="A12" s="63"/>
      <c r="B12" s="18"/>
      <c r="C12" s="18"/>
      <c r="D12" s="18"/>
      <c r="E12" s="18"/>
      <c r="F12" s="18"/>
      <c r="G12" s="18"/>
      <c r="H12" s="18"/>
      <c r="I12" s="18"/>
      <c r="J12" s="69"/>
    </row>
    <row r="13" spans="1:10" x14ac:dyDescent="0.2">
      <c r="A13" s="63"/>
      <c r="B13" s="18"/>
      <c r="C13" s="18"/>
      <c r="D13" s="18"/>
      <c r="E13" s="18"/>
      <c r="F13" s="18"/>
      <c r="G13" s="18"/>
      <c r="H13" s="18"/>
      <c r="I13" s="18"/>
      <c r="J13" s="69"/>
    </row>
    <row r="14" spans="1:10" x14ac:dyDescent="0.2">
      <c r="A14" s="63"/>
      <c r="B14" s="18"/>
      <c r="C14" s="18"/>
      <c r="D14" s="18"/>
      <c r="E14" s="18"/>
      <c r="F14" s="18"/>
      <c r="G14" s="18"/>
      <c r="H14" s="18"/>
      <c r="I14" s="18"/>
      <c r="J14" s="69"/>
    </row>
    <row r="15" spans="1:10" x14ac:dyDescent="0.2">
      <c r="A15" s="63"/>
      <c r="B15" s="18"/>
      <c r="C15" s="18"/>
      <c r="D15" s="18"/>
      <c r="E15" s="18"/>
      <c r="F15" s="18"/>
      <c r="G15" s="18"/>
      <c r="H15" s="18"/>
      <c r="I15" s="18"/>
      <c r="J15" s="69"/>
    </row>
    <row r="16" spans="1:10" x14ac:dyDescent="0.2">
      <c r="A16" s="63"/>
      <c r="B16" s="18"/>
      <c r="C16" s="18"/>
      <c r="D16" s="18"/>
      <c r="E16" s="18"/>
      <c r="F16" s="18"/>
      <c r="G16" s="18"/>
      <c r="H16" s="18"/>
      <c r="I16" s="18"/>
      <c r="J16" s="69"/>
    </row>
    <row r="17" spans="1:10" x14ac:dyDescent="0.2">
      <c r="A17" s="63"/>
      <c r="B17" s="18"/>
      <c r="C17" s="18"/>
      <c r="D17" s="18"/>
      <c r="E17" s="18"/>
      <c r="F17" s="18"/>
      <c r="G17" s="18"/>
      <c r="H17" s="18"/>
      <c r="I17" s="18"/>
      <c r="J17" s="69"/>
    </row>
    <row r="18" spans="1:10" x14ac:dyDescent="0.2">
      <c r="A18" s="155" t="s">
        <v>141</v>
      </c>
      <c r="B18" s="156"/>
      <c r="C18" s="156"/>
      <c r="D18" s="156"/>
      <c r="E18" s="156"/>
      <c r="F18" s="156"/>
      <c r="G18" s="156"/>
      <c r="H18" s="156"/>
      <c r="I18" s="156"/>
      <c r="J18" s="157"/>
    </row>
    <row r="19" spans="1:10" x14ac:dyDescent="0.2">
      <c r="A19" s="158"/>
      <c r="B19" s="156"/>
      <c r="C19" s="156"/>
      <c r="D19" s="156"/>
      <c r="E19" s="156"/>
      <c r="F19" s="156"/>
      <c r="G19" s="156"/>
      <c r="H19" s="156"/>
      <c r="I19" s="156"/>
      <c r="J19" s="157"/>
    </row>
    <row r="20" spans="1:10" x14ac:dyDescent="0.2">
      <c r="A20" s="158"/>
      <c r="B20" s="156"/>
      <c r="C20" s="156"/>
      <c r="D20" s="156"/>
      <c r="E20" s="156"/>
      <c r="F20" s="156"/>
      <c r="G20" s="156"/>
      <c r="H20" s="156"/>
      <c r="I20" s="156"/>
      <c r="J20" s="157"/>
    </row>
    <row r="21" spans="1:10" x14ac:dyDescent="0.2">
      <c r="A21" s="63"/>
      <c r="B21" s="18"/>
      <c r="C21" s="18"/>
      <c r="D21" s="18"/>
      <c r="E21" s="18"/>
      <c r="F21" s="18"/>
      <c r="G21" s="18"/>
      <c r="H21" s="18"/>
      <c r="I21" s="18"/>
      <c r="J21" s="69"/>
    </row>
    <row r="22" spans="1:10" x14ac:dyDescent="0.2">
      <c r="A22" s="63"/>
      <c r="B22" s="18"/>
      <c r="C22" s="18"/>
      <c r="D22" s="18"/>
      <c r="E22" s="18"/>
      <c r="F22" s="18"/>
      <c r="G22" s="18"/>
      <c r="H22" s="18"/>
      <c r="I22" s="18"/>
      <c r="J22" s="69"/>
    </row>
    <row r="23" spans="1:10" x14ac:dyDescent="0.2">
      <c r="A23" s="63"/>
      <c r="B23" s="18"/>
      <c r="C23" s="18"/>
      <c r="D23" s="18"/>
      <c r="E23" s="18"/>
      <c r="F23" s="18"/>
      <c r="G23" s="18"/>
      <c r="H23" s="18"/>
      <c r="I23" s="18"/>
      <c r="J23" s="69"/>
    </row>
    <row r="24" spans="1:10" x14ac:dyDescent="0.2">
      <c r="A24" s="63"/>
      <c r="B24" s="18"/>
      <c r="C24" s="18"/>
      <c r="D24" s="18"/>
      <c r="E24" s="18"/>
      <c r="F24" s="18"/>
      <c r="G24" s="18"/>
      <c r="H24" s="18"/>
      <c r="I24" s="18"/>
      <c r="J24" s="69"/>
    </row>
    <row r="25" spans="1:10" x14ac:dyDescent="0.2">
      <c r="A25" s="63"/>
      <c r="B25" s="18"/>
      <c r="C25" s="18"/>
      <c r="D25" s="18"/>
      <c r="E25" s="18"/>
      <c r="F25" s="18"/>
      <c r="G25" s="18"/>
      <c r="H25" s="18"/>
      <c r="I25" s="18"/>
      <c r="J25" s="69"/>
    </row>
    <row r="26" spans="1:10" x14ac:dyDescent="0.2">
      <c r="A26" s="63"/>
      <c r="B26" s="18"/>
      <c r="C26" s="18"/>
      <c r="D26" s="18"/>
      <c r="E26" s="18"/>
      <c r="F26" s="18"/>
      <c r="G26" s="18"/>
      <c r="H26" s="18"/>
      <c r="I26" s="18"/>
      <c r="J26" s="69"/>
    </row>
    <row r="27" spans="1:10" x14ac:dyDescent="0.2">
      <c r="A27" s="63"/>
      <c r="B27" s="18"/>
      <c r="C27" s="18"/>
      <c r="D27" s="18"/>
      <c r="E27" s="18"/>
      <c r="F27" s="18"/>
      <c r="G27" s="18"/>
      <c r="H27" s="18"/>
      <c r="I27" s="18"/>
      <c r="J27" s="69"/>
    </row>
    <row r="28" spans="1:10" x14ac:dyDescent="0.2">
      <c r="A28" s="63"/>
      <c r="B28" s="18"/>
      <c r="C28" s="18"/>
      <c r="D28" s="18"/>
      <c r="E28" s="18"/>
      <c r="F28" s="18"/>
      <c r="G28" s="18"/>
      <c r="H28" s="18"/>
      <c r="I28" s="18"/>
      <c r="J28" s="69"/>
    </row>
    <row r="29" spans="1:10" x14ac:dyDescent="0.2">
      <c r="A29" s="63"/>
      <c r="B29" s="18"/>
      <c r="C29" s="18"/>
      <c r="D29" s="18"/>
      <c r="E29" s="18"/>
      <c r="F29" s="18"/>
      <c r="G29" s="18"/>
      <c r="H29" s="18"/>
      <c r="I29" s="18"/>
      <c r="J29" s="69"/>
    </row>
    <row r="30" spans="1:10" x14ac:dyDescent="0.2">
      <c r="A30" s="63"/>
      <c r="B30" s="18"/>
      <c r="C30" s="18"/>
      <c r="D30" s="18"/>
      <c r="E30" s="18"/>
      <c r="F30" s="18"/>
      <c r="G30" s="18"/>
      <c r="H30" s="18"/>
      <c r="I30" s="18"/>
      <c r="J30" s="69"/>
    </row>
    <row r="31" spans="1:10" x14ac:dyDescent="0.2">
      <c r="A31" s="63"/>
      <c r="B31" s="18"/>
      <c r="C31" s="18"/>
      <c r="D31" s="18"/>
      <c r="E31" s="18"/>
      <c r="F31" s="18"/>
      <c r="G31" s="18"/>
      <c r="H31" s="18"/>
      <c r="I31" s="18"/>
      <c r="J31" s="69"/>
    </row>
    <row r="32" spans="1:10" x14ac:dyDescent="0.2">
      <c r="A32" s="63"/>
      <c r="B32" s="18"/>
      <c r="C32" s="18"/>
      <c r="D32" s="18"/>
      <c r="E32" s="18"/>
      <c r="F32" s="18"/>
      <c r="G32" s="18"/>
      <c r="H32" s="18"/>
      <c r="I32" s="18"/>
      <c r="J32" s="69"/>
    </row>
    <row r="33" spans="1:10" x14ac:dyDescent="0.2">
      <c r="A33" s="63"/>
      <c r="B33" s="18"/>
      <c r="C33" s="18"/>
      <c r="D33" s="18"/>
      <c r="E33" s="18"/>
      <c r="F33" s="18"/>
      <c r="G33" s="18"/>
      <c r="H33" s="18"/>
      <c r="I33" s="18"/>
      <c r="J33" s="69"/>
    </row>
    <row r="34" spans="1:10" x14ac:dyDescent="0.2">
      <c r="A34" s="63"/>
      <c r="B34" s="18"/>
      <c r="C34" s="18"/>
      <c r="D34" s="18"/>
      <c r="E34" s="18"/>
      <c r="F34" s="18"/>
      <c r="G34" s="18"/>
      <c r="H34" s="18"/>
      <c r="I34" s="18"/>
      <c r="J34" s="69"/>
    </row>
    <row r="35" spans="1:10" x14ac:dyDescent="0.2">
      <c r="A35" s="63"/>
      <c r="B35" s="18"/>
      <c r="C35" s="18"/>
      <c r="D35" s="18"/>
      <c r="E35" s="18"/>
      <c r="F35" s="18"/>
      <c r="G35" s="18"/>
      <c r="H35" s="18"/>
      <c r="I35" s="18"/>
      <c r="J35" s="69"/>
    </row>
    <row r="36" spans="1:10" x14ac:dyDescent="0.2">
      <c r="A36" s="63"/>
      <c r="B36" s="18"/>
      <c r="C36" s="18"/>
      <c r="D36" s="18"/>
      <c r="E36" s="18"/>
      <c r="F36" s="18"/>
      <c r="G36" s="18"/>
      <c r="H36" s="18"/>
      <c r="I36" s="18"/>
      <c r="J36" s="69"/>
    </row>
    <row r="37" spans="1:10" x14ac:dyDescent="0.2">
      <c r="A37" s="63"/>
      <c r="B37" s="18"/>
      <c r="C37" s="18"/>
      <c r="D37" s="18"/>
      <c r="E37" s="18"/>
      <c r="F37" s="18"/>
      <c r="G37" s="18"/>
      <c r="H37" s="18"/>
      <c r="I37" s="18"/>
      <c r="J37" s="69"/>
    </row>
    <row r="38" spans="1:10" x14ac:dyDescent="0.2">
      <c r="A38" s="63"/>
      <c r="B38" s="18"/>
      <c r="C38" s="18"/>
      <c r="D38" s="18"/>
      <c r="E38" s="18"/>
      <c r="F38" s="18"/>
      <c r="G38" s="18"/>
      <c r="H38" s="18"/>
      <c r="I38" s="18"/>
      <c r="J38" s="69"/>
    </row>
    <row r="39" spans="1:10" x14ac:dyDescent="0.2">
      <c r="A39" s="63"/>
      <c r="B39" s="18"/>
      <c r="C39" s="18"/>
      <c r="D39" s="18"/>
      <c r="E39" s="18"/>
      <c r="F39" s="18"/>
      <c r="G39" s="18"/>
      <c r="H39" s="18"/>
      <c r="I39" s="18"/>
      <c r="J39" s="69"/>
    </row>
    <row r="40" spans="1:10" x14ac:dyDescent="0.2">
      <c r="A40" s="63"/>
      <c r="B40" s="18"/>
      <c r="C40" s="18"/>
      <c r="D40" s="18"/>
      <c r="E40" s="18"/>
      <c r="F40" s="18"/>
      <c r="G40" s="18"/>
      <c r="H40" s="18"/>
      <c r="I40" s="18"/>
      <c r="J40" s="69"/>
    </row>
    <row r="41" spans="1:10" x14ac:dyDescent="0.2">
      <c r="A41" s="63"/>
      <c r="B41" s="18"/>
      <c r="C41" s="18"/>
      <c r="D41" s="18"/>
      <c r="E41" s="18"/>
      <c r="F41" s="18"/>
      <c r="G41" s="18"/>
      <c r="H41" s="18"/>
      <c r="I41" s="18"/>
      <c r="J41" s="69"/>
    </row>
    <row r="42" spans="1:10" x14ac:dyDescent="0.2">
      <c r="A42" s="63"/>
      <c r="B42" s="18"/>
      <c r="C42" s="18"/>
      <c r="D42" s="18"/>
      <c r="E42" s="18"/>
      <c r="F42" s="18"/>
      <c r="G42" s="18"/>
      <c r="H42" s="18"/>
      <c r="I42" s="18"/>
      <c r="J42" s="69"/>
    </row>
    <row r="43" spans="1:10" x14ac:dyDescent="0.2">
      <c r="A43" s="63"/>
      <c r="B43" s="18"/>
      <c r="C43" s="18"/>
      <c r="D43" s="18"/>
      <c r="E43" s="18"/>
      <c r="F43" s="18"/>
      <c r="G43" s="18"/>
      <c r="H43" s="18"/>
      <c r="I43" s="18"/>
      <c r="J43" s="69"/>
    </row>
    <row r="44" spans="1:10" x14ac:dyDescent="0.2">
      <c r="A44" s="63"/>
      <c r="B44" s="18"/>
      <c r="C44" s="18"/>
      <c r="D44" s="18"/>
      <c r="E44" s="18"/>
      <c r="F44" s="18"/>
      <c r="G44" s="18"/>
      <c r="H44" s="18"/>
      <c r="I44" s="18"/>
      <c r="J44" s="69"/>
    </row>
    <row r="45" spans="1:10" x14ac:dyDescent="0.2">
      <c r="A45" s="66"/>
      <c r="B45" s="67"/>
      <c r="C45" s="67"/>
      <c r="D45" s="67"/>
      <c r="E45" s="67"/>
      <c r="F45" s="67"/>
      <c r="G45" s="67"/>
      <c r="H45" s="67"/>
      <c r="I45" s="67"/>
      <c r="J45" s="70"/>
    </row>
  </sheetData>
  <mergeCells count="1">
    <mergeCell ref="A18:J2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Q63"/>
  <sheetViews>
    <sheetView tabSelected="1" workbookViewId="0">
      <selection activeCell="M30" sqref="M30"/>
    </sheetView>
  </sheetViews>
  <sheetFormatPr defaultRowHeight="12.75" x14ac:dyDescent="0.2"/>
  <cols>
    <col min="1" max="2" width="16.7109375" customWidth="1"/>
    <col min="3" max="3" width="9.140625" customWidth="1"/>
    <col min="4" max="4" width="10.85546875" customWidth="1"/>
    <col min="5" max="8" width="10.7109375" customWidth="1"/>
    <col min="9" max="10" width="19.28515625" customWidth="1"/>
    <col min="11" max="11" width="9.140625" customWidth="1"/>
    <col min="12" max="17" width="10.7109375" customWidth="1"/>
  </cols>
  <sheetData>
    <row r="1" spans="1:17" ht="15.75" customHeight="1" x14ac:dyDescent="0.2">
      <c r="A1" s="52"/>
      <c r="B1" s="52"/>
      <c r="C1" s="52"/>
      <c r="D1" s="52"/>
      <c r="E1" s="52"/>
      <c r="F1" s="52"/>
      <c r="G1" s="52"/>
      <c r="H1" s="52"/>
      <c r="I1" s="52"/>
      <c r="J1" s="52"/>
      <c r="K1" s="52"/>
      <c r="L1" s="52"/>
    </row>
    <row r="2" spans="1:17" ht="26.25" customHeight="1" x14ac:dyDescent="0.2">
      <c r="A2" s="83" t="s">
        <v>148</v>
      </c>
      <c r="B2" s="83" t="s">
        <v>170</v>
      </c>
      <c r="C2" s="83" t="s">
        <v>149</v>
      </c>
      <c r="D2" s="83" t="s">
        <v>152</v>
      </c>
      <c r="E2" s="83" t="s">
        <v>154</v>
      </c>
      <c r="F2" s="166" t="s">
        <v>158</v>
      </c>
      <c r="G2" s="166"/>
      <c r="H2" s="166"/>
      <c r="I2" s="83"/>
      <c r="J2" s="83" t="s">
        <v>160</v>
      </c>
      <c r="K2" s="83" t="s">
        <v>146</v>
      </c>
      <c r="L2" s="53"/>
      <c r="M2" s="34"/>
      <c r="N2" s="34"/>
      <c r="O2" s="34"/>
      <c r="P2" s="34"/>
      <c r="Q2" s="34"/>
    </row>
    <row r="3" spans="1:17" ht="12.75" customHeight="1" x14ac:dyDescent="0.2">
      <c r="A3" s="84" t="s">
        <v>147</v>
      </c>
      <c r="B3" s="84" t="s">
        <v>172</v>
      </c>
      <c r="C3" s="111" t="s">
        <v>151</v>
      </c>
      <c r="D3" s="84" t="s">
        <v>153</v>
      </c>
      <c r="E3" s="84" t="s">
        <v>75</v>
      </c>
      <c r="F3" s="111" t="s">
        <v>74</v>
      </c>
      <c r="G3" s="111" t="s">
        <v>156</v>
      </c>
      <c r="H3" s="111" t="s">
        <v>157</v>
      </c>
      <c r="I3" s="84" t="s">
        <v>159</v>
      </c>
      <c r="J3" s="84" t="s">
        <v>161</v>
      </c>
      <c r="K3" s="84" t="s">
        <v>162</v>
      </c>
      <c r="L3" s="53"/>
      <c r="M3" s="34"/>
      <c r="N3" s="34"/>
      <c r="O3" s="34"/>
      <c r="P3" s="34"/>
      <c r="Q3" s="34"/>
    </row>
    <row r="4" spans="1:17" x14ac:dyDescent="0.2">
      <c r="A4" s="102" t="s">
        <v>180</v>
      </c>
      <c r="B4" s="104">
        <v>5.072379999999999</v>
      </c>
      <c r="C4" s="105">
        <v>23.888888888888889</v>
      </c>
      <c r="D4" s="105">
        <v>30</v>
      </c>
      <c r="E4" s="104">
        <v>0.1</v>
      </c>
      <c r="F4" s="173">
        <v>299.99997078799998</v>
      </c>
      <c r="G4" s="173">
        <v>134.9999868546</v>
      </c>
      <c r="H4" s="173">
        <v>29.999997078800003</v>
      </c>
      <c r="I4" s="107">
        <v>339429</v>
      </c>
      <c r="J4" s="175" t="s">
        <v>246</v>
      </c>
      <c r="K4" s="106">
        <v>3.1</v>
      </c>
      <c r="L4" s="52"/>
    </row>
    <row r="5" spans="1:17" ht="15" x14ac:dyDescent="0.2">
      <c r="A5" s="102" t="s">
        <v>181</v>
      </c>
      <c r="B5" s="104">
        <v>5.0876200000000003</v>
      </c>
      <c r="C5" s="105">
        <v>23.888888888888889</v>
      </c>
      <c r="D5" s="105">
        <v>30</v>
      </c>
      <c r="E5" s="104">
        <v>0.1</v>
      </c>
      <c r="F5" s="173">
        <v>299.99997078799998</v>
      </c>
      <c r="G5" s="173">
        <v>134.9999868546</v>
      </c>
      <c r="H5" s="173">
        <v>29.999997078800003</v>
      </c>
      <c r="I5" s="107">
        <v>392470</v>
      </c>
      <c r="J5" s="176" t="s">
        <v>259</v>
      </c>
      <c r="K5" s="106">
        <v>3.6</v>
      </c>
      <c r="L5" s="52"/>
    </row>
    <row r="6" spans="1:17" x14ac:dyDescent="0.2">
      <c r="A6" s="102" t="s">
        <v>182</v>
      </c>
      <c r="B6" s="104">
        <v>5.09016</v>
      </c>
      <c r="C6" s="105">
        <v>23.888888888888889</v>
      </c>
      <c r="D6" s="105">
        <v>30</v>
      </c>
      <c r="E6" s="104">
        <v>0.1</v>
      </c>
      <c r="F6" s="173">
        <v>299.99997078799998</v>
      </c>
      <c r="G6" s="173">
        <v>134.9999868546</v>
      </c>
      <c r="H6" s="173">
        <v>29.999997078800003</v>
      </c>
      <c r="I6" s="107">
        <v>342510</v>
      </c>
      <c r="J6" s="175" t="s">
        <v>246</v>
      </c>
      <c r="K6" s="106">
        <v>3.2</v>
      </c>
      <c r="L6" s="52"/>
    </row>
    <row r="7" spans="1:17" x14ac:dyDescent="0.2">
      <c r="A7" s="102" t="s">
        <v>183</v>
      </c>
      <c r="B7" s="104">
        <v>5.0876200000000003</v>
      </c>
      <c r="C7" s="105">
        <v>23.888888888888889</v>
      </c>
      <c r="D7" s="105">
        <v>30</v>
      </c>
      <c r="E7" s="104">
        <v>0.1</v>
      </c>
      <c r="F7" s="173">
        <v>299.99997078799998</v>
      </c>
      <c r="G7" s="173">
        <v>134.9999868546</v>
      </c>
      <c r="H7" s="173">
        <v>29.999997078800003</v>
      </c>
      <c r="I7" s="107">
        <v>282450</v>
      </c>
      <c r="J7" s="175" t="s">
        <v>246</v>
      </c>
      <c r="K7" s="106">
        <v>2.6</v>
      </c>
      <c r="L7" s="52"/>
    </row>
    <row r="8" spans="1:17" ht="15" x14ac:dyDescent="0.2">
      <c r="A8" s="102" t="s">
        <v>184</v>
      </c>
      <c r="B8" s="104">
        <v>5.0774599999999994</v>
      </c>
      <c r="C8" s="105">
        <v>23.888888888888889</v>
      </c>
      <c r="D8" s="105">
        <v>30</v>
      </c>
      <c r="E8" s="104">
        <v>0.1</v>
      </c>
      <c r="F8" s="173">
        <v>299.99997078799998</v>
      </c>
      <c r="G8" s="173">
        <v>134.9999868546</v>
      </c>
      <c r="H8" s="173">
        <v>29.999997078800003</v>
      </c>
      <c r="I8" s="107">
        <v>170540</v>
      </c>
      <c r="J8" s="176" t="s">
        <v>259</v>
      </c>
      <c r="K8" s="106">
        <v>1.6</v>
      </c>
      <c r="L8" s="52"/>
    </row>
    <row r="9" spans="1:17" x14ac:dyDescent="0.2">
      <c r="A9" s="102" t="s">
        <v>185</v>
      </c>
      <c r="B9" s="104">
        <v>5.08</v>
      </c>
      <c r="C9" s="105">
        <v>23.888888888888889</v>
      </c>
      <c r="D9" s="105">
        <v>30</v>
      </c>
      <c r="E9" s="104">
        <v>0.1</v>
      </c>
      <c r="F9" s="173">
        <v>299.99997078799998</v>
      </c>
      <c r="G9" s="173">
        <v>134.9999868546</v>
      </c>
      <c r="H9" s="173">
        <v>29.999997078800003</v>
      </c>
      <c r="I9" s="107">
        <v>436876</v>
      </c>
      <c r="J9" s="175" t="s">
        <v>246</v>
      </c>
      <c r="K9" s="106">
        <v>4</v>
      </c>
      <c r="L9" s="52"/>
    </row>
    <row r="10" spans="1:17" x14ac:dyDescent="0.2">
      <c r="A10" s="102" t="s">
        <v>186</v>
      </c>
      <c r="B10" s="104">
        <v>5.0850799999999996</v>
      </c>
      <c r="C10" s="105">
        <v>23.888888888888889</v>
      </c>
      <c r="D10" s="105">
        <v>30</v>
      </c>
      <c r="E10" s="104">
        <v>0.1</v>
      </c>
      <c r="F10" s="173">
        <v>299.99997078799998</v>
      </c>
      <c r="G10" s="173">
        <v>134.9999868546</v>
      </c>
      <c r="H10" s="173">
        <v>29.999997078800003</v>
      </c>
      <c r="I10" s="107">
        <v>699421</v>
      </c>
      <c r="J10" s="175" t="s">
        <v>246</v>
      </c>
      <c r="K10" s="106">
        <v>6.5</v>
      </c>
      <c r="L10" s="52"/>
    </row>
    <row r="11" spans="1:17" x14ac:dyDescent="0.2">
      <c r="A11" s="102" t="s">
        <v>187</v>
      </c>
      <c r="B11" s="104">
        <v>5.08</v>
      </c>
      <c r="C11" s="105">
        <v>23.888888888888889</v>
      </c>
      <c r="D11" s="105">
        <v>30</v>
      </c>
      <c r="E11" s="104">
        <v>0.1</v>
      </c>
      <c r="F11" s="173">
        <v>299.99997078799998</v>
      </c>
      <c r="G11" s="173">
        <v>134.9999868546</v>
      </c>
      <c r="H11" s="173">
        <v>29.999997078800003</v>
      </c>
      <c r="I11" s="107">
        <v>360052</v>
      </c>
      <c r="J11" s="175" t="s">
        <v>246</v>
      </c>
      <c r="K11" s="106">
        <v>3.3</v>
      </c>
      <c r="L11" s="52"/>
      <c r="N11" s="24"/>
    </row>
    <row r="12" spans="1:17" x14ac:dyDescent="0.2">
      <c r="A12" s="102" t="s">
        <v>188</v>
      </c>
      <c r="B12" s="104">
        <v>5.0850799999999996</v>
      </c>
      <c r="C12" s="105">
        <v>23.888888888888889</v>
      </c>
      <c r="D12" s="105">
        <v>30</v>
      </c>
      <c r="E12" s="104">
        <v>0.1</v>
      </c>
      <c r="F12" s="173">
        <v>299.99997078799998</v>
      </c>
      <c r="G12" s="173">
        <v>134.9999868546</v>
      </c>
      <c r="H12" s="173">
        <v>29.999997078800003</v>
      </c>
      <c r="I12" s="107">
        <v>738588</v>
      </c>
      <c r="J12" s="175" t="s">
        <v>246</v>
      </c>
      <c r="K12" s="106">
        <v>6.8</v>
      </c>
      <c r="L12" s="52"/>
    </row>
    <row r="13" spans="1:17" x14ac:dyDescent="0.2">
      <c r="A13" s="102" t="s">
        <v>189</v>
      </c>
      <c r="B13" s="104">
        <v>5.0850799999999996</v>
      </c>
      <c r="C13" s="105">
        <v>23.888888888888889</v>
      </c>
      <c r="D13" s="105">
        <v>30</v>
      </c>
      <c r="E13" s="104">
        <v>0.1</v>
      </c>
      <c r="F13" s="173">
        <v>299.99997078799998</v>
      </c>
      <c r="G13" s="173">
        <v>134.9999868546</v>
      </c>
      <c r="H13" s="173">
        <v>29.999997078800003</v>
      </c>
      <c r="I13" s="107">
        <v>380219</v>
      </c>
      <c r="J13" s="175" t="s">
        <v>246</v>
      </c>
      <c r="K13" s="106">
        <v>3.5</v>
      </c>
      <c r="L13" s="52"/>
      <c r="N13" s="24"/>
    </row>
    <row r="14" spans="1:17" x14ac:dyDescent="0.2">
      <c r="A14" s="102" t="s">
        <v>190</v>
      </c>
      <c r="B14" s="104">
        <v>5.0774599999999994</v>
      </c>
      <c r="C14" s="105">
        <v>23.888888888888889</v>
      </c>
      <c r="D14" s="105">
        <v>30</v>
      </c>
      <c r="E14" s="104">
        <v>0.1</v>
      </c>
      <c r="F14" s="173">
        <v>299.99997078799998</v>
      </c>
      <c r="G14" s="173">
        <v>134.9999868546</v>
      </c>
      <c r="H14" s="173">
        <v>29.999997078800003</v>
      </c>
      <c r="I14" s="107">
        <v>1094051</v>
      </c>
      <c r="J14" s="175" t="s">
        <v>246</v>
      </c>
      <c r="K14" s="106">
        <v>10.1</v>
      </c>
      <c r="L14" s="52"/>
    </row>
    <row r="15" spans="1:17" ht="15" x14ac:dyDescent="0.2">
      <c r="A15" s="102" t="s">
        <v>191</v>
      </c>
      <c r="B15" s="104">
        <v>5.0825399999999998</v>
      </c>
      <c r="C15" s="105">
        <v>23.888888888888889</v>
      </c>
      <c r="D15" s="105">
        <v>30</v>
      </c>
      <c r="E15" s="104">
        <v>0.1</v>
      </c>
      <c r="F15" s="173">
        <v>299.99997078799998</v>
      </c>
      <c r="G15" s="173">
        <v>134.9999868546</v>
      </c>
      <c r="H15" s="173">
        <v>29.999997078800003</v>
      </c>
      <c r="I15" s="107">
        <v>420016</v>
      </c>
      <c r="J15" s="176" t="s">
        <v>259</v>
      </c>
      <c r="K15" s="106">
        <v>3.9</v>
      </c>
      <c r="L15" s="52"/>
      <c r="N15" s="24"/>
    </row>
    <row r="16" spans="1:17" x14ac:dyDescent="0.2">
      <c r="A16" s="102" t="s">
        <v>192</v>
      </c>
      <c r="B16" s="104">
        <v>5.0825399999999998</v>
      </c>
      <c r="C16" s="105">
        <v>23.888888888888889</v>
      </c>
      <c r="D16" s="105">
        <v>30</v>
      </c>
      <c r="E16" s="104">
        <v>0.1</v>
      </c>
      <c r="F16" s="173">
        <v>299.99997078799998</v>
      </c>
      <c r="G16" s="173">
        <v>134.9999868546</v>
      </c>
      <c r="H16" s="173">
        <v>29.999997078800003</v>
      </c>
      <c r="I16" s="107">
        <v>119899</v>
      </c>
      <c r="J16" s="175" t="s">
        <v>246</v>
      </c>
      <c r="K16" s="106">
        <v>1.1000000000000001</v>
      </c>
      <c r="L16" s="52"/>
    </row>
    <row r="17" spans="1:14" x14ac:dyDescent="0.2">
      <c r="A17" s="102" t="s">
        <v>193</v>
      </c>
      <c r="B17" s="104">
        <v>5.0774599999999994</v>
      </c>
      <c r="C17" s="105">
        <v>23.888888888888889</v>
      </c>
      <c r="D17" s="105">
        <v>30</v>
      </c>
      <c r="E17" s="104">
        <v>0.1</v>
      </c>
      <c r="F17" s="173">
        <v>299.99997078799998</v>
      </c>
      <c r="G17" s="173">
        <v>134.9999868546</v>
      </c>
      <c r="H17" s="173">
        <v>29.999997078800003</v>
      </c>
      <c r="I17" s="107">
        <v>726741</v>
      </c>
      <c r="J17" s="175" t="s">
        <v>246</v>
      </c>
      <c r="K17" s="106">
        <v>6.7</v>
      </c>
      <c r="L17" s="52"/>
      <c r="N17" s="24"/>
    </row>
    <row r="18" spans="1:14" ht="15" x14ac:dyDescent="0.2">
      <c r="A18" s="102" t="s">
        <v>194</v>
      </c>
      <c r="B18" s="104">
        <v>5.08</v>
      </c>
      <c r="C18" s="105">
        <v>23.888888888888889</v>
      </c>
      <c r="D18" s="105">
        <v>30</v>
      </c>
      <c r="E18" s="104">
        <v>0.1</v>
      </c>
      <c r="F18" s="173">
        <v>299.99997078799998</v>
      </c>
      <c r="G18" s="173">
        <v>134.9999868546</v>
      </c>
      <c r="H18" s="173">
        <v>29.999997078800003</v>
      </c>
      <c r="I18" s="107">
        <v>666316</v>
      </c>
      <c r="J18" s="176" t="s">
        <v>259</v>
      </c>
      <c r="K18" s="106">
        <v>6.2</v>
      </c>
      <c r="L18" s="52"/>
    </row>
    <row r="19" spans="1:14" x14ac:dyDescent="0.2">
      <c r="A19" s="102" t="s">
        <v>195</v>
      </c>
      <c r="B19" s="104">
        <v>5.0774599999999994</v>
      </c>
      <c r="C19" s="105">
        <v>23.888888888888889</v>
      </c>
      <c r="D19" s="105">
        <v>30</v>
      </c>
      <c r="E19" s="104">
        <v>0.1</v>
      </c>
      <c r="F19" s="173">
        <v>299.99997078799998</v>
      </c>
      <c r="G19" s="173">
        <v>134.9999868546</v>
      </c>
      <c r="H19" s="173">
        <v>29.999997078800003</v>
      </c>
      <c r="I19" s="107">
        <v>873053</v>
      </c>
      <c r="J19" s="175" t="s">
        <v>246</v>
      </c>
      <c r="K19" s="106">
        <v>8.1</v>
      </c>
      <c r="L19" s="52"/>
      <c r="N19" s="24"/>
    </row>
    <row r="20" spans="1:14" x14ac:dyDescent="0.2">
      <c r="A20" s="102" t="s">
        <v>196</v>
      </c>
      <c r="B20" s="104">
        <v>5.0774599999999994</v>
      </c>
      <c r="C20" s="105">
        <v>23.888888888888889</v>
      </c>
      <c r="D20" s="105">
        <v>30</v>
      </c>
      <c r="E20" s="104">
        <v>0.1</v>
      </c>
      <c r="F20" s="173">
        <v>299.99997078799998</v>
      </c>
      <c r="G20" s="173">
        <v>134.9999868546</v>
      </c>
      <c r="H20" s="173">
        <v>29.999997078800003</v>
      </c>
      <c r="I20" s="107">
        <v>461662</v>
      </c>
      <c r="J20" s="175" t="s">
        <v>246</v>
      </c>
      <c r="K20" s="106">
        <v>7.1</v>
      </c>
      <c r="L20" s="52"/>
    </row>
    <row r="21" spans="1:14" x14ac:dyDescent="0.2">
      <c r="A21" s="102" t="s">
        <v>197</v>
      </c>
      <c r="B21" s="104">
        <v>5.0774599999999994</v>
      </c>
      <c r="C21" s="105">
        <v>23.888888888888889</v>
      </c>
      <c r="D21" s="105">
        <v>30</v>
      </c>
      <c r="E21" s="104">
        <v>0.1</v>
      </c>
      <c r="F21" s="173">
        <v>299.99997078799998</v>
      </c>
      <c r="G21" s="173">
        <v>134.9999868546</v>
      </c>
      <c r="H21" s="173">
        <v>29.999997078800003</v>
      </c>
      <c r="I21" s="107">
        <v>417291</v>
      </c>
      <c r="J21" s="175" t="s">
        <v>246</v>
      </c>
      <c r="K21" s="106">
        <v>3.9</v>
      </c>
      <c r="L21" s="52"/>
      <c r="N21" s="24"/>
    </row>
    <row r="22" spans="1:14" x14ac:dyDescent="0.2">
      <c r="A22" s="102" t="s">
        <v>198</v>
      </c>
      <c r="B22" s="104">
        <v>5.0698400000000001</v>
      </c>
      <c r="C22" s="105">
        <v>23.888888888888889</v>
      </c>
      <c r="D22" s="105">
        <v>30</v>
      </c>
      <c r="E22" s="104">
        <v>0.1</v>
      </c>
      <c r="F22" s="173">
        <v>299.99997078799998</v>
      </c>
      <c r="G22" s="173">
        <v>134.9999868546</v>
      </c>
      <c r="H22" s="173">
        <v>29.999997078800003</v>
      </c>
      <c r="I22" s="107">
        <v>507374</v>
      </c>
      <c r="J22" s="175" t="s">
        <v>246</v>
      </c>
      <c r="K22" s="106">
        <v>4.7</v>
      </c>
      <c r="L22" s="52"/>
    </row>
    <row r="23" spans="1:14" x14ac:dyDescent="0.2">
      <c r="A23" s="102" t="s">
        <v>199</v>
      </c>
      <c r="B23" s="104">
        <v>5.0749199999999997</v>
      </c>
      <c r="C23" s="105">
        <v>23.888888888888889</v>
      </c>
      <c r="D23" s="105">
        <v>30</v>
      </c>
      <c r="E23" s="104">
        <v>0.1</v>
      </c>
      <c r="F23" s="173">
        <v>299.99997078799998</v>
      </c>
      <c r="G23" s="173">
        <v>134.9999868546</v>
      </c>
      <c r="H23" s="173">
        <v>29.999997078800003</v>
      </c>
      <c r="I23" s="107">
        <v>156149</v>
      </c>
      <c r="J23" s="175" t="s">
        <v>246</v>
      </c>
      <c r="K23" s="106">
        <v>1.4</v>
      </c>
      <c r="L23" s="52"/>
      <c r="N23" s="24"/>
    </row>
    <row r="24" spans="1:14" x14ac:dyDescent="0.2">
      <c r="A24" s="102" t="s">
        <v>200</v>
      </c>
      <c r="B24" s="104">
        <v>5.0698400000000001</v>
      </c>
      <c r="C24" s="105">
        <v>23.888888888888889</v>
      </c>
      <c r="D24" s="105">
        <v>30</v>
      </c>
      <c r="E24" s="104">
        <v>0.1</v>
      </c>
      <c r="F24" s="173">
        <v>299.99997078799998</v>
      </c>
      <c r="G24" s="173">
        <v>134.9999868546</v>
      </c>
      <c r="H24" s="173">
        <v>29.999997078800003</v>
      </c>
      <c r="I24" s="107">
        <v>436285</v>
      </c>
      <c r="J24" s="175" t="s">
        <v>246</v>
      </c>
      <c r="K24" s="106">
        <v>4</v>
      </c>
      <c r="L24" s="52"/>
    </row>
    <row r="25" spans="1:14" x14ac:dyDescent="0.2">
      <c r="A25" s="102" t="s">
        <v>201</v>
      </c>
      <c r="B25" s="104">
        <v>5.072379999999999</v>
      </c>
      <c r="C25" s="105">
        <v>23.888888888888889</v>
      </c>
      <c r="D25" s="105">
        <v>30</v>
      </c>
      <c r="E25" s="104">
        <v>0.1</v>
      </c>
      <c r="F25" s="173">
        <v>299.99997078799998</v>
      </c>
      <c r="G25" s="173">
        <v>134.9999868546</v>
      </c>
      <c r="H25" s="173">
        <v>29.999997078800003</v>
      </c>
      <c r="I25" s="107">
        <v>395479</v>
      </c>
      <c r="J25" s="175" t="s">
        <v>246</v>
      </c>
      <c r="K25" s="106">
        <v>3.7</v>
      </c>
      <c r="L25" s="52"/>
      <c r="N25" s="24"/>
    </row>
    <row r="26" spans="1:14" ht="15" x14ac:dyDescent="0.2">
      <c r="A26" s="102" t="s">
        <v>202</v>
      </c>
      <c r="B26" s="104">
        <v>5.08</v>
      </c>
      <c r="C26" s="105">
        <v>23.888888888888889</v>
      </c>
      <c r="D26" s="105">
        <v>30</v>
      </c>
      <c r="E26" s="104">
        <v>0.1</v>
      </c>
      <c r="F26" s="173">
        <v>299.99997078799998</v>
      </c>
      <c r="G26" s="173">
        <v>134.9999868546</v>
      </c>
      <c r="H26" s="173">
        <v>29.999997078800003</v>
      </c>
      <c r="I26" s="107">
        <v>10005000</v>
      </c>
      <c r="J26" s="177" t="s">
        <v>278</v>
      </c>
      <c r="K26" s="106">
        <v>92.6</v>
      </c>
      <c r="L26" s="52"/>
    </row>
    <row r="27" spans="1:14" x14ac:dyDescent="0.2">
      <c r="A27" s="43" t="s">
        <v>203</v>
      </c>
      <c r="B27" s="72">
        <v>5.08</v>
      </c>
      <c r="C27" s="73">
        <v>23.888888888888889</v>
      </c>
      <c r="D27" s="73">
        <v>30</v>
      </c>
      <c r="E27" s="72">
        <v>0.1</v>
      </c>
      <c r="F27" s="174">
        <v>299.99997078799998</v>
      </c>
      <c r="G27" s="174">
        <v>134.9999868546</v>
      </c>
      <c r="H27" s="174">
        <v>29.999997078800003</v>
      </c>
      <c r="I27" s="75">
        <v>1082170</v>
      </c>
      <c r="J27" s="175" t="s">
        <v>246</v>
      </c>
      <c r="K27" s="74">
        <v>10</v>
      </c>
      <c r="L27" s="52"/>
      <c r="N27" s="24"/>
    </row>
    <row r="28" spans="1:14" x14ac:dyDescent="0.2">
      <c r="A28" s="102" t="s">
        <v>204</v>
      </c>
      <c r="B28" s="104">
        <v>5.0876200000000003</v>
      </c>
      <c r="C28" s="105">
        <v>23.888888888888889</v>
      </c>
      <c r="D28" s="105">
        <v>30</v>
      </c>
      <c r="E28" s="104">
        <v>0.1</v>
      </c>
      <c r="F28" s="173">
        <v>299.99997078799998</v>
      </c>
      <c r="G28" s="173">
        <v>134.9999868546</v>
      </c>
      <c r="H28" s="173">
        <v>29.999997078800003</v>
      </c>
      <c r="I28" s="107">
        <v>640228</v>
      </c>
      <c r="J28" s="175" t="s">
        <v>246</v>
      </c>
      <c r="K28" s="106">
        <v>5.9</v>
      </c>
      <c r="L28" s="52"/>
    </row>
    <row r="29" spans="1:14" ht="15" x14ac:dyDescent="0.2">
      <c r="A29" s="102" t="s">
        <v>205</v>
      </c>
      <c r="B29" s="104">
        <v>5.0926999999999998</v>
      </c>
      <c r="C29" s="105">
        <v>23.888888888888889</v>
      </c>
      <c r="D29" s="105">
        <v>30</v>
      </c>
      <c r="E29" s="104">
        <v>0.1</v>
      </c>
      <c r="F29" s="173">
        <v>299.99997078799998</v>
      </c>
      <c r="G29" s="173">
        <v>134.9999868546</v>
      </c>
      <c r="H29" s="173">
        <v>29.999997078800003</v>
      </c>
      <c r="I29" s="107">
        <v>1387860</v>
      </c>
      <c r="J29" s="176" t="s">
        <v>259</v>
      </c>
      <c r="K29" s="106">
        <v>12.9</v>
      </c>
      <c r="L29" s="52"/>
      <c r="N29" s="24"/>
    </row>
    <row r="30" spans="1:14" x14ac:dyDescent="0.2">
      <c r="A30" s="102" t="s">
        <v>206</v>
      </c>
      <c r="B30" s="104">
        <v>5.0876200000000003</v>
      </c>
      <c r="C30" s="105">
        <v>23.888888888888889</v>
      </c>
      <c r="D30" s="105">
        <v>30</v>
      </c>
      <c r="E30" s="104">
        <v>0.1</v>
      </c>
      <c r="F30" s="173">
        <v>299.99997078799998</v>
      </c>
      <c r="G30" s="173">
        <v>134.9999868546</v>
      </c>
      <c r="H30" s="173">
        <v>29.999997078800003</v>
      </c>
      <c r="I30" s="107">
        <v>269804</v>
      </c>
      <c r="J30" s="175" t="s">
        <v>246</v>
      </c>
      <c r="K30" s="106">
        <v>2.5</v>
      </c>
      <c r="L30" s="52"/>
    </row>
    <row r="31" spans="1:14" ht="15" x14ac:dyDescent="0.2">
      <c r="A31" s="102" t="s">
        <v>207</v>
      </c>
      <c r="B31" s="104">
        <v>5.0876200000000003</v>
      </c>
      <c r="C31" s="105">
        <v>23.888888888888889</v>
      </c>
      <c r="D31" s="105">
        <v>30</v>
      </c>
      <c r="E31" s="104">
        <v>0.1</v>
      </c>
      <c r="F31" s="173">
        <v>299.99997078799998</v>
      </c>
      <c r="G31" s="173">
        <v>134.9999868546</v>
      </c>
      <c r="H31" s="173">
        <v>29.999997078800003</v>
      </c>
      <c r="I31" s="107">
        <v>10005000</v>
      </c>
      <c r="J31" s="177" t="s">
        <v>278</v>
      </c>
      <c r="K31" s="106">
        <v>92.6</v>
      </c>
      <c r="L31" s="52"/>
      <c r="N31" s="24"/>
    </row>
    <row r="32" spans="1:14" ht="15" x14ac:dyDescent="0.2">
      <c r="A32" s="102" t="s">
        <v>208</v>
      </c>
      <c r="B32" s="104">
        <v>5.0825399999999998</v>
      </c>
      <c r="C32" s="105">
        <v>23.888888888888889</v>
      </c>
      <c r="D32" s="105">
        <v>30</v>
      </c>
      <c r="E32" s="104">
        <v>0.1</v>
      </c>
      <c r="F32" s="173">
        <v>299.99997078799998</v>
      </c>
      <c r="G32" s="173">
        <v>134.9999868546</v>
      </c>
      <c r="H32" s="173">
        <v>29.999997078800003</v>
      </c>
      <c r="I32" s="107">
        <v>10005000</v>
      </c>
      <c r="J32" s="177" t="s">
        <v>278</v>
      </c>
      <c r="K32" s="106">
        <v>92.6</v>
      </c>
      <c r="L32" s="52"/>
    </row>
    <row r="33" spans="1:14" ht="15" x14ac:dyDescent="0.2">
      <c r="A33" s="102" t="s">
        <v>209</v>
      </c>
      <c r="B33" s="104">
        <v>5.0825399999999998</v>
      </c>
      <c r="C33" s="105">
        <v>23.888888888888889</v>
      </c>
      <c r="D33" s="105">
        <v>30</v>
      </c>
      <c r="E33" s="104">
        <v>0.1</v>
      </c>
      <c r="F33" s="173">
        <v>299.99997078799998</v>
      </c>
      <c r="G33" s="173">
        <v>134.9999868546</v>
      </c>
      <c r="H33" s="173">
        <v>29.999997078800003</v>
      </c>
      <c r="I33" s="107">
        <v>10005000</v>
      </c>
      <c r="J33" s="177" t="s">
        <v>278</v>
      </c>
      <c r="K33" s="106">
        <v>92.6</v>
      </c>
      <c r="L33" s="52"/>
      <c r="N33" s="24"/>
    </row>
    <row r="34" spans="1:14" x14ac:dyDescent="0.2">
      <c r="A34" s="102" t="s">
        <v>211</v>
      </c>
      <c r="B34" s="104">
        <v>5.0850799999999996</v>
      </c>
      <c r="C34" s="105">
        <v>23.888888888888889</v>
      </c>
      <c r="D34" s="105">
        <v>30</v>
      </c>
      <c r="E34" s="104">
        <v>0.1</v>
      </c>
      <c r="F34" s="173">
        <v>450.00030091999997</v>
      </c>
      <c r="G34" s="173">
        <v>202.500135414</v>
      </c>
      <c r="H34" s="173">
        <v>45.000030091999996</v>
      </c>
      <c r="I34" s="108">
        <v>15160</v>
      </c>
      <c r="J34" s="175" t="s">
        <v>246</v>
      </c>
      <c r="K34" s="106">
        <v>0.2</v>
      </c>
    </row>
    <row r="35" spans="1:14" ht="15" x14ac:dyDescent="0.2">
      <c r="A35" s="102" t="s">
        <v>212</v>
      </c>
      <c r="B35" s="104">
        <v>5.0647599999999997</v>
      </c>
      <c r="C35" s="105">
        <v>23.888888888888889</v>
      </c>
      <c r="D35" s="105">
        <v>30</v>
      </c>
      <c r="E35" s="104">
        <v>0.1</v>
      </c>
      <c r="F35" s="173">
        <v>450.00030091999997</v>
      </c>
      <c r="G35" s="173">
        <v>202.500135414</v>
      </c>
      <c r="H35" s="173">
        <v>45.000030091999996</v>
      </c>
      <c r="I35" s="107">
        <v>74110</v>
      </c>
      <c r="J35" s="176" t="s">
        <v>259</v>
      </c>
      <c r="K35" s="106">
        <v>0.7</v>
      </c>
      <c r="N35" s="24"/>
    </row>
    <row r="36" spans="1:14" x14ac:dyDescent="0.2">
      <c r="A36" s="102" t="s">
        <v>213</v>
      </c>
      <c r="B36" s="104">
        <v>5.0825399999999998</v>
      </c>
      <c r="C36" s="105">
        <v>23.888888888888889</v>
      </c>
      <c r="D36" s="105">
        <v>30</v>
      </c>
      <c r="E36" s="104">
        <v>0.1</v>
      </c>
      <c r="F36" s="173">
        <v>450.00030091999997</v>
      </c>
      <c r="G36" s="173">
        <v>202.500135414</v>
      </c>
      <c r="H36" s="173">
        <v>45.000030091999996</v>
      </c>
      <c r="I36" s="107">
        <v>72340</v>
      </c>
      <c r="J36" s="175" t="s">
        <v>246</v>
      </c>
      <c r="K36" s="106">
        <v>0.7</v>
      </c>
      <c r="N36" s="24"/>
    </row>
    <row r="37" spans="1:14" ht="15" x14ac:dyDescent="0.2">
      <c r="A37" s="102" t="s">
        <v>214</v>
      </c>
      <c r="B37" s="104">
        <v>5.0698400000000001</v>
      </c>
      <c r="C37" s="105">
        <v>23.888888888888889</v>
      </c>
      <c r="D37" s="105">
        <v>30</v>
      </c>
      <c r="E37" s="104">
        <v>0.1</v>
      </c>
      <c r="F37" s="173">
        <v>450.00030091999997</v>
      </c>
      <c r="G37" s="173">
        <v>202.500135414</v>
      </c>
      <c r="H37" s="173">
        <v>45.000030091999996</v>
      </c>
      <c r="I37" s="107">
        <v>69573</v>
      </c>
      <c r="J37" s="176" t="s">
        <v>259</v>
      </c>
      <c r="K37" s="106">
        <v>0.6</v>
      </c>
    </row>
    <row r="38" spans="1:14" ht="15" x14ac:dyDescent="0.2">
      <c r="A38" s="102" t="s">
        <v>215</v>
      </c>
      <c r="B38" s="104">
        <v>5.0647599999999997</v>
      </c>
      <c r="C38" s="105">
        <v>23.888888888888889</v>
      </c>
      <c r="D38" s="105">
        <v>30</v>
      </c>
      <c r="E38" s="104">
        <v>0.1</v>
      </c>
      <c r="F38" s="173">
        <v>450.00030091999997</v>
      </c>
      <c r="G38" s="173">
        <v>202.500135414</v>
      </c>
      <c r="H38" s="173">
        <v>45.000030091999996</v>
      </c>
      <c r="I38" s="107">
        <v>80607</v>
      </c>
      <c r="J38" s="176" t="s">
        <v>259</v>
      </c>
      <c r="K38" s="106">
        <v>0.7</v>
      </c>
    </row>
    <row r="39" spans="1:14" ht="15" x14ac:dyDescent="0.2">
      <c r="A39" s="102" t="s">
        <v>216</v>
      </c>
      <c r="B39" s="104">
        <v>5.09016</v>
      </c>
      <c r="C39" s="105">
        <v>23.888888888888889</v>
      </c>
      <c r="D39" s="105">
        <v>30</v>
      </c>
      <c r="E39" s="104">
        <v>0.1</v>
      </c>
      <c r="F39" s="173">
        <v>450.00030091999997</v>
      </c>
      <c r="G39" s="173">
        <v>202.500135414</v>
      </c>
      <c r="H39" s="173">
        <v>45.000030091999996</v>
      </c>
      <c r="I39" s="107">
        <v>124285</v>
      </c>
      <c r="J39" s="176" t="s">
        <v>259</v>
      </c>
      <c r="K39" s="106">
        <v>1.2</v>
      </c>
    </row>
    <row r="40" spans="1:14" x14ac:dyDescent="0.2">
      <c r="A40" s="102" t="s">
        <v>217</v>
      </c>
      <c r="B40" s="104">
        <v>5.0952399999999995</v>
      </c>
      <c r="C40" s="105">
        <v>23.888888888888889</v>
      </c>
      <c r="D40" s="105">
        <v>30</v>
      </c>
      <c r="E40" s="104">
        <v>0.1</v>
      </c>
      <c r="F40" s="173">
        <v>450.00030091999997</v>
      </c>
      <c r="G40" s="173">
        <v>202.500135414</v>
      </c>
      <c r="H40" s="173">
        <v>45.000030091999996</v>
      </c>
      <c r="I40" s="107">
        <v>81400</v>
      </c>
      <c r="J40" s="175" t="s">
        <v>246</v>
      </c>
      <c r="K40" s="106">
        <v>0.8</v>
      </c>
    </row>
    <row r="41" spans="1:14" x14ac:dyDescent="0.2">
      <c r="A41" s="102" t="s">
        <v>218</v>
      </c>
      <c r="B41" s="104">
        <v>5.0876200000000003</v>
      </c>
      <c r="C41" s="105">
        <v>23.888888888888889</v>
      </c>
      <c r="D41" s="105">
        <v>30</v>
      </c>
      <c r="E41" s="104">
        <v>0.1</v>
      </c>
      <c r="F41" s="173">
        <v>450.00030091999997</v>
      </c>
      <c r="G41" s="173">
        <v>202.500135414</v>
      </c>
      <c r="H41" s="173">
        <v>45.000030091999996</v>
      </c>
      <c r="I41" s="107">
        <v>18803</v>
      </c>
      <c r="J41" s="175" t="s">
        <v>246</v>
      </c>
      <c r="K41" s="106">
        <v>0.21</v>
      </c>
    </row>
    <row r="42" spans="1:14" x14ac:dyDescent="0.2">
      <c r="A42" s="102" t="s">
        <v>219</v>
      </c>
      <c r="B42" s="104">
        <v>5.0876200000000003</v>
      </c>
      <c r="C42" s="105">
        <v>23.888888888888889</v>
      </c>
      <c r="D42" s="105">
        <v>30</v>
      </c>
      <c r="E42" s="104">
        <v>0.1</v>
      </c>
      <c r="F42" s="173">
        <v>450.00030091999997</v>
      </c>
      <c r="G42" s="173">
        <v>202.500135414</v>
      </c>
      <c r="H42" s="173">
        <v>45.000030091999996</v>
      </c>
      <c r="I42" s="107">
        <v>159974</v>
      </c>
      <c r="J42" s="175" t="s">
        <v>246</v>
      </c>
      <c r="K42" s="106">
        <v>1.5</v>
      </c>
    </row>
    <row r="43" spans="1:14" x14ac:dyDescent="0.2">
      <c r="A43" s="102" t="s">
        <v>220</v>
      </c>
      <c r="B43" s="104">
        <v>5.0926999999999998</v>
      </c>
      <c r="C43" s="105">
        <v>23.888888888888889</v>
      </c>
      <c r="D43" s="105">
        <v>30</v>
      </c>
      <c r="E43" s="104">
        <v>0.1</v>
      </c>
      <c r="F43" s="174">
        <v>450.00030091999997</v>
      </c>
      <c r="G43" s="174">
        <v>202.500135414</v>
      </c>
      <c r="H43" s="174">
        <v>45.000030091999996</v>
      </c>
      <c r="I43" s="107">
        <v>167979</v>
      </c>
      <c r="J43" s="175" t="s">
        <v>246</v>
      </c>
      <c r="K43" s="106">
        <v>1.6</v>
      </c>
    </row>
    <row r="44" spans="1:14" x14ac:dyDescent="0.2">
      <c r="A44" s="43" t="s">
        <v>221</v>
      </c>
      <c r="B44" s="72">
        <v>5.1028599999999997</v>
      </c>
      <c r="C44" s="73">
        <v>23.888888888888889</v>
      </c>
      <c r="D44" s="73">
        <v>30</v>
      </c>
      <c r="E44" s="104">
        <v>0.1</v>
      </c>
      <c r="F44" s="173">
        <v>450.00030091999997</v>
      </c>
      <c r="G44" s="173">
        <v>202.500135414</v>
      </c>
      <c r="H44" s="173">
        <v>45.000030091999996</v>
      </c>
      <c r="I44" s="75">
        <v>120955</v>
      </c>
      <c r="J44" s="175" t="s">
        <v>246</v>
      </c>
      <c r="K44" s="74">
        <v>1.1000000000000001</v>
      </c>
    </row>
    <row r="45" spans="1:14" x14ac:dyDescent="0.2">
      <c r="A45" s="43" t="s">
        <v>222</v>
      </c>
      <c r="B45" s="72">
        <v>5.09016</v>
      </c>
      <c r="C45" s="73">
        <v>23.888888888888889</v>
      </c>
      <c r="D45" s="73">
        <v>30</v>
      </c>
      <c r="E45" s="104">
        <v>0.1</v>
      </c>
      <c r="F45" s="173">
        <v>450.00030091999997</v>
      </c>
      <c r="G45" s="173">
        <v>202.500135414</v>
      </c>
      <c r="H45" s="173">
        <v>45.000030091999996</v>
      </c>
      <c r="I45" s="75">
        <v>211183</v>
      </c>
      <c r="J45" s="175" t="s">
        <v>246</v>
      </c>
      <c r="K45" s="74">
        <v>2</v>
      </c>
    </row>
    <row r="46" spans="1:14" ht="15" x14ac:dyDescent="0.2">
      <c r="A46" s="43" t="s">
        <v>223</v>
      </c>
      <c r="B46" s="72">
        <v>5.0926999999999998</v>
      </c>
      <c r="C46" s="73">
        <v>23.888888888888889</v>
      </c>
      <c r="D46" s="73">
        <v>30</v>
      </c>
      <c r="E46" s="104">
        <v>0.1</v>
      </c>
      <c r="F46" s="173">
        <v>450.00030091999997</v>
      </c>
      <c r="G46" s="173">
        <v>202.500135414</v>
      </c>
      <c r="H46" s="173">
        <v>45.000030091999996</v>
      </c>
      <c r="I46" s="75">
        <v>24210</v>
      </c>
      <c r="J46" s="176" t="s">
        <v>259</v>
      </c>
      <c r="K46" s="74">
        <v>0.2</v>
      </c>
    </row>
    <row r="47" spans="1:14" ht="15" x14ac:dyDescent="0.2">
      <c r="A47" s="43" t="s">
        <v>224</v>
      </c>
      <c r="B47" s="72">
        <v>5.09016</v>
      </c>
      <c r="C47" s="73">
        <v>23.888888888888889</v>
      </c>
      <c r="D47" s="73">
        <v>30</v>
      </c>
      <c r="E47" s="104">
        <v>0.1</v>
      </c>
      <c r="F47" s="173">
        <v>450.00030091999997</v>
      </c>
      <c r="G47" s="173">
        <v>202.500135414</v>
      </c>
      <c r="H47" s="173">
        <v>45.000030091999996</v>
      </c>
      <c r="I47" s="75">
        <v>45986</v>
      </c>
      <c r="J47" s="176" t="s">
        <v>259</v>
      </c>
      <c r="K47" s="74">
        <v>0.4</v>
      </c>
    </row>
    <row r="48" spans="1:14" x14ac:dyDescent="0.2">
      <c r="A48" s="43" t="s">
        <v>225</v>
      </c>
      <c r="B48" s="72">
        <v>5.0926999999999998</v>
      </c>
      <c r="C48" s="73">
        <v>23.888888888888889</v>
      </c>
      <c r="D48" s="73">
        <v>30</v>
      </c>
      <c r="E48" s="104">
        <v>0.1</v>
      </c>
      <c r="F48" s="173">
        <v>450.00030091999997</v>
      </c>
      <c r="G48" s="173">
        <v>202.500135414</v>
      </c>
      <c r="H48" s="173">
        <v>45.000030091999996</v>
      </c>
      <c r="I48" s="75">
        <v>17194</v>
      </c>
      <c r="J48" s="175" t="s">
        <v>246</v>
      </c>
      <c r="K48" s="74">
        <v>0.2</v>
      </c>
    </row>
    <row r="49" spans="1:11" ht="15" x14ac:dyDescent="0.2">
      <c r="A49" s="102" t="s">
        <v>226</v>
      </c>
      <c r="B49" s="104">
        <v>5.0876200000000003</v>
      </c>
      <c r="C49" s="105">
        <v>23.888888888888889</v>
      </c>
      <c r="D49" s="105">
        <v>30</v>
      </c>
      <c r="E49" s="104">
        <v>0.1</v>
      </c>
      <c r="F49" s="173">
        <v>450.00030091999997</v>
      </c>
      <c r="G49" s="173">
        <v>202.500135414</v>
      </c>
      <c r="H49" s="173">
        <v>45.000030091999996</v>
      </c>
      <c r="I49" s="107">
        <v>106528</v>
      </c>
      <c r="J49" s="176" t="s">
        <v>259</v>
      </c>
      <c r="K49" s="106">
        <v>1</v>
      </c>
    </row>
    <row r="50" spans="1:11" x14ac:dyDescent="0.2">
      <c r="A50" s="102" t="s">
        <v>227</v>
      </c>
      <c r="B50" s="104">
        <v>5.09016</v>
      </c>
      <c r="C50" s="105">
        <v>23.888888888888889</v>
      </c>
      <c r="D50" s="105">
        <v>30</v>
      </c>
      <c r="E50" s="104">
        <v>0.1</v>
      </c>
      <c r="F50" s="173">
        <v>450.00030091999997</v>
      </c>
      <c r="G50" s="173">
        <v>202.500135414</v>
      </c>
      <c r="H50" s="173">
        <v>45.000030091999996</v>
      </c>
      <c r="I50" s="107">
        <v>58088</v>
      </c>
      <c r="J50" s="175" t="s">
        <v>268</v>
      </c>
      <c r="K50" s="106">
        <v>0.5</v>
      </c>
    </row>
    <row r="51" spans="1:11" ht="15" x14ac:dyDescent="0.2">
      <c r="A51" s="102" t="s">
        <v>228</v>
      </c>
      <c r="B51" s="104">
        <v>5.08</v>
      </c>
      <c r="C51" s="105">
        <v>23.888888888888889</v>
      </c>
      <c r="D51" s="105">
        <v>30</v>
      </c>
      <c r="E51" s="104">
        <v>0.1</v>
      </c>
      <c r="F51" s="173">
        <v>450.00030091999997</v>
      </c>
      <c r="G51" s="173">
        <v>202.500135414</v>
      </c>
      <c r="H51" s="173">
        <v>45.000030091999996</v>
      </c>
      <c r="I51" s="107">
        <v>43046</v>
      </c>
      <c r="J51" s="176" t="s">
        <v>259</v>
      </c>
      <c r="K51" s="106">
        <v>0.4</v>
      </c>
    </row>
    <row r="52" spans="1:11" ht="15" x14ac:dyDescent="0.2">
      <c r="A52" s="102" t="s">
        <v>229</v>
      </c>
      <c r="B52" s="104">
        <v>5.0825399999999998</v>
      </c>
      <c r="C52" s="105">
        <v>23.888888888888889</v>
      </c>
      <c r="D52" s="105">
        <v>30</v>
      </c>
      <c r="E52" s="104">
        <v>0.1</v>
      </c>
      <c r="F52" s="173">
        <v>450.00030091999997</v>
      </c>
      <c r="G52" s="173">
        <v>202.500135414</v>
      </c>
      <c r="H52" s="173">
        <v>45.000030091999996</v>
      </c>
      <c r="I52" s="107">
        <v>77038</v>
      </c>
      <c r="J52" s="176" t="s">
        <v>259</v>
      </c>
      <c r="K52" s="106">
        <v>0.7</v>
      </c>
    </row>
    <row r="53" spans="1:11" x14ac:dyDescent="0.2">
      <c r="A53" s="102" t="s">
        <v>230</v>
      </c>
      <c r="B53" s="104">
        <v>5.0850799999999996</v>
      </c>
      <c r="C53" s="105">
        <v>23.888888888888889</v>
      </c>
      <c r="D53" s="105">
        <v>30</v>
      </c>
      <c r="E53" s="104">
        <v>0.1</v>
      </c>
      <c r="F53" s="174">
        <v>450.00030091999997</v>
      </c>
      <c r="G53" s="174">
        <v>202.500135414</v>
      </c>
      <c r="H53" s="174">
        <v>45.000030091999996</v>
      </c>
      <c r="I53" s="107">
        <v>90935</v>
      </c>
      <c r="J53" s="175" t="s">
        <v>246</v>
      </c>
      <c r="K53" s="106">
        <v>0.8</v>
      </c>
    </row>
    <row r="54" spans="1:11" x14ac:dyDescent="0.2">
      <c r="A54" s="102" t="s">
        <v>231</v>
      </c>
      <c r="B54" s="104">
        <v>5.0881279999999993</v>
      </c>
      <c r="C54" s="105">
        <v>23.888888888888889</v>
      </c>
      <c r="D54" s="105">
        <v>30</v>
      </c>
      <c r="E54" s="104">
        <v>0.1</v>
      </c>
      <c r="F54" s="173">
        <v>450.00030091999997</v>
      </c>
      <c r="G54" s="173">
        <v>202.500135414</v>
      </c>
      <c r="H54" s="173">
        <v>45.000030091999996</v>
      </c>
      <c r="I54" s="107">
        <v>124760</v>
      </c>
      <c r="J54" s="175" t="s">
        <v>246</v>
      </c>
      <c r="K54" s="106">
        <v>1.2</v>
      </c>
    </row>
    <row r="55" spans="1:11" ht="15" x14ac:dyDescent="0.2">
      <c r="A55" s="102" t="s">
        <v>232</v>
      </c>
      <c r="B55" s="104">
        <v>5.09016</v>
      </c>
      <c r="C55" s="105">
        <v>23.888888888888889</v>
      </c>
      <c r="D55" s="105">
        <v>30</v>
      </c>
      <c r="E55" s="104">
        <v>0.1</v>
      </c>
      <c r="F55" s="173">
        <v>450.00030091999997</v>
      </c>
      <c r="G55" s="173">
        <v>202.500135414</v>
      </c>
      <c r="H55" s="173">
        <v>45.000030091999996</v>
      </c>
      <c r="I55" s="107">
        <v>51112</v>
      </c>
      <c r="J55" s="176" t="s">
        <v>259</v>
      </c>
      <c r="K55" s="106">
        <v>0.5</v>
      </c>
    </row>
    <row r="56" spans="1:11" x14ac:dyDescent="0.2">
      <c r="A56" s="102" t="s">
        <v>233</v>
      </c>
      <c r="B56" s="104">
        <v>5.0774599999999994</v>
      </c>
      <c r="C56" s="105">
        <v>23.888888888888889</v>
      </c>
      <c r="D56" s="105">
        <v>30</v>
      </c>
      <c r="E56" s="104">
        <v>0.1</v>
      </c>
      <c r="F56" s="173">
        <v>450.00030091999997</v>
      </c>
      <c r="G56" s="173">
        <v>202.500135414</v>
      </c>
      <c r="H56" s="173">
        <v>45.000030091999996</v>
      </c>
      <c r="I56" s="107">
        <v>25996</v>
      </c>
      <c r="J56" s="175" t="s">
        <v>246</v>
      </c>
      <c r="K56" s="106">
        <v>0.2</v>
      </c>
    </row>
    <row r="57" spans="1:11" x14ac:dyDescent="0.2">
      <c r="A57" s="102" t="s">
        <v>234</v>
      </c>
      <c r="B57" s="104">
        <v>5.0850799999999996</v>
      </c>
      <c r="C57" s="105">
        <v>23.888888888888889</v>
      </c>
      <c r="D57" s="105">
        <v>30</v>
      </c>
      <c r="E57" s="104">
        <v>0.1</v>
      </c>
      <c r="F57" s="173">
        <v>450.00030091999997</v>
      </c>
      <c r="G57" s="173">
        <v>202.500135414</v>
      </c>
      <c r="H57" s="173">
        <v>45.000030091999996</v>
      </c>
      <c r="I57" s="107">
        <v>90780</v>
      </c>
      <c r="J57" s="175" t="s">
        <v>246</v>
      </c>
      <c r="K57" s="106">
        <v>0.8</v>
      </c>
    </row>
    <row r="58" spans="1:11" x14ac:dyDescent="0.2">
      <c r="A58" s="102" t="s">
        <v>235</v>
      </c>
      <c r="B58" s="104">
        <v>5.0825399999999998</v>
      </c>
      <c r="C58" s="105">
        <v>23.888888888888889</v>
      </c>
      <c r="D58" s="105">
        <v>30</v>
      </c>
      <c r="E58" s="104">
        <v>0.1</v>
      </c>
      <c r="F58" s="173">
        <v>450.00030091999997</v>
      </c>
      <c r="G58" s="173">
        <v>202.500135414</v>
      </c>
      <c r="H58" s="173">
        <v>45.000030091999996</v>
      </c>
      <c r="I58" s="107">
        <v>133014</v>
      </c>
      <c r="J58" s="175" t="s">
        <v>246</v>
      </c>
      <c r="K58" s="106">
        <v>1.2</v>
      </c>
    </row>
    <row r="59" spans="1:11" x14ac:dyDescent="0.2">
      <c r="A59" s="102" t="s">
        <v>236</v>
      </c>
      <c r="B59" s="104">
        <v>5.0850799999999996</v>
      </c>
      <c r="C59" s="105">
        <v>23.888888888888889</v>
      </c>
      <c r="D59" s="105">
        <v>30</v>
      </c>
      <c r="E59" s="104">
        <v>0.1</v>
      </c>
      <c r="F59" s="173">
        <v>450.00030091999997</v>
      </c>
      <c r="G59" s="173">
        <v>202.500135414</v>
      </c>
      <c r="H59" s="173">
        <v>45.000030091999996</v>
      </c>
      <c r="I59" s="107">
        <v>105940</v>
      </c>
      <c r="J59" s="175" t="s">
        <v>246</v>
      </c>
      <c r="K59" s="106">
        <v>1</v>
      </c>
    </row>
    <row r="60" spans="1:11" x14ac:dyDescent="0.2">
      <c r="A60" s="102" t="s">
        <v>237</v>
      </c>
      <c r="B60" s="104">
        <v>5.0825399999999998</v>
      </c>
      <c r="C60" s="105">
        <v>23.888888888888889</v>
      </c>
      <c r="D60" s="105">
        <v>30</v>
      </c>
      <c r="E60" s="104">
        <v>0.1</v>
      </c>
      <c r="F60" s="173">
        <v>450.00030091999997</v>
      </c>
      <c r="G60" s="173">
        <v>202.500135414</v>
      </c>
      <c r="H60" s="173">
        <v>45.000030091999996</v>
      </c>
      <c r="I60" s="107">
        <v>316498</v>
      </c>
      <c r="J60" s="175" t="s">
        <v>246</v>
      </c>
      <c r="K60" s="106">
        <v>2.9</v>
      </c>
    </row>
    <row r="61" spans="1:11" x14ac:dyDescent="0.2">
      <c r="A61" s="102" t="s">
        <v>238</v>
      </c>
      <c r="B61" s="104">
        <v>5.0825399999999998</v>
      </c>
      <c r="C61" s="105">
        <v>23.888888888888889</v>
      </c>
      <c r="D61" s="105">
        <v>30</v>
      </c>
      <c r="E61" s="104">
        <v>0.1</v>
      </c>
      <c r="F61" s="173">
        <v>450.00030091999997</v>
      </c>
      <c r="G61" s="173">
        <v>202.500135414</v>
      </c>
      <c r="H61" s="173">
        <v>45.000030091999996</v>
      </c>
      <c r="I61" s="107">
        <v>138368</v>
      </c>
      <c r="J61" s="175" t="s">
        <v>246</v>
      </c>
      <c r="K61" s="106">
        <v>1.3</v>
      </c>
    </row>
    <row r="62" spans="1:11" x14ac:dyDescent="0.2">
      <c r="A62" s="102" t="s">
        <v>239</v>
      </c>
      <c r="B62" s="104">
        <v>5.08</v>
      </c>
      <c r="C62" s="105">
        <v>23.888888888888889</v>
      </c>
      <c r="D62" s="105">
        <v>30</v>
      </c>
      <c r="E62" s="104">
        <v>0.1</v>
      </c>
      <c r="F62" s="173">
        <v>450.00030091999997</v>
      </c>
      <c r="G62" s="173">
        <v>202.500135414</v>
      </c>
      <c r="H62" s="173">
        <v>45.000030091999996</v>
      </c>
      <c r="I62" s="107">
        <v>159139</v>
      </c>
      <c r="J62" s="175" t="s">
        <v>246</v>
      </c>
      <c r="K62" s="106">
        <v>1.5</v>
      </c>
    </row>
    <row r="63" spans="1:11" x14ac:dyDescent="0.2">
      <c r="A63" s="102" t="s">
        <v>240</v>
      </c>
      <c r="B63" s="104">
        <v>5.08</v>
      </c>
      <c r="C63" s="105">
        <v>23.888888888888889</v>
      </c>
      <c r="D63" s="105">
        <v>30</v>
      </c>
      <c r="E63" s="104">
        <v>0.1</v>
      </c>
      <c r="F63" s="173">
        <v>450.00030091999997</v>
      </c>
      <c r="G63" s="173">
        <v>202.500135414</v>
      </c>
      <c r="H63" s="173">
        <v>45.000030091999996</v>
      </c>
      <c r="I63" s="107">
        <v>129053</v>
      </c>
      <c r="J63" s="175" t="s">
        <v>246</v>
      </c>
      <c r="K63" s="106">
        <v>1.2</v>
      </c>
    </row>
  </sheetData>
  <mergeCells count="1">
    <mergeCell ref="F2:H2"/>
  </mergeCells>
  <conditionalFormatting sqref="AB10:AB37 J1:J1048576">
    <cfRule type="cellIs" dxfId="3" priority="5" stopIfTrue="1" operator="equal">
      <formula>"Loading"</formula>
    </cfRule>
    <cfRule type="cellIs" dxfId="2" priority="6" operator="equal">
      <formula>"Running"</formula>
    </cfRule>
  </conditionalFormatting>
  <printOptions horizontalCentered="1"/>
  <pageMargins left="0.25" right="0.25" top="0.75" bottom="0.75" header="0.3" footer="0.3"/>
  <pageSetup scale="68" orientation="landscape" r:id="rId1"/>
  <headerFooter>
    <oddFooter>&amp;C&amp;8 Metcut Research Inc. • 3980 Rosslyn Drive • Cincinnati, OH  45209
Tel (513) 271-5100 • Fax (513) 271-9511
www.metcut.com&amp;LPage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D39"/>
  <sheetViews>
    <sheetView workbookViewId="0">
      <selection activeCell="A8" sqref="A8:W39"/>
    </sheetView>
  </sheetViews>
  <sheetFormatPr defaultRowHeight="12.75" x14ac:dyDescent="0.2"/>
  <cols>
    <col min="2" max="4" width="16.7109375" customWidth="1"/>
    <col min="5" max="6" width="9.140625" customWidth="1"/>
    <col min="7" max="7" width="10.85546875" customWidth="1"/>
    <col min="8" max="14" width="10.7109375" customWidth="1"/>
    <col min="15" max="16" width="19.28515625" customWidth="1"/>
    <col min="19" max="19" width="10.7109375" customWidth="1"/>
    <col min="20" max="20" width="10.7109375" style="77" customWidth="1"/>
    <col min="21" max="30" width="10.7109375" customWidth="1"/>
  </cols>
  <sheetData>
    <row r="1" spans="1:30" ht="15.75" customHeight="1" x14ac:dyDescent="0.2">
      <c r="A1" s="52"/>
      <c r="B1" s="78" t="s">
        <v>44</v>
      </c>
      <c r="C1" s="11"/>
      <c r="D1" s="11" t="s">
        <v>73</v>
      </c>
      <c r="E1" s="52"/>
      <c r="F1" s="52"/>
      <c r="G1" s="52"/>
      <c r="H1" s="52"/>
      <c r="I1" s="52"/>
      <c r="J1" s="52"/>
      <c r="K1" s="52"/>
      <c r="L1" s="52"/>
      <c r="M1" s="52"/>
      <c r="N1" s="52"/>
      <c r="O1" s="52"/>
      <c r="P1" s="78" t="s">
        <v>143</v>
      </c>
      <c r="Q1" s="25" t="s">
        <v>281</v>
      </c>
      <c r="R1" s="52"/>
      <c r="S1" s="52"/>
      <c r="T1" s="76"/>
      <c r="U1" s="52"/>
      <c r="V1" s="52"/>
      <c r="W1" s="52"/>
      <c r="X1" s="52"/>
      <c r="Y1" s="52"/>
    </row>
    <row r="2" spans="1:30" ht="15.75" customHeight="1" x14ac:dyDescent="0.2">
      <c r="A2" s="52"/>
      <c r="B2" s="78" t="s">
        <v>142</v>
      </c>
      <c r="C2" s="11"/>
      <c r="D2" s="11" t="s">
        <v>72</v>
      </c>
      <c r="E2" s="52"/>
      <c r="F2" s="52"/>
      <c r="G2" s="52"/>
      <c r="H2" s="52"/>
      <c r="I2" s="52"/>
      <c r="J2" s="52"/>
      <c r="K2" s="52"/>
      <c r="L2" s="52"/>
      <c r="M2" s="52"/>
      <c r="N2" s="52"/>
      <c r="O2" s="52"/>
      <c r="P2" s="78" t="s">
        <v>82</v>
      </c>
      <c r="Q2" s="161">
        <f ca="1">TODAY()</f>
        <v>45741</v>
      </c>
      <c r="R2" s="162"/>
      <c r="S2" s="52"/>
      <c r="T2" s="76"/>
      <c r="U2" s="52"/>
      <c r="V2" s="52"/>
      <c r="W2" s="52"/>
      <c r="X2" s="52"/>
      <c r="Y2" s="52"/>
    </row>
    <row r="3" spans="1:30" ht="15.75" customHeight="1" x14ac:dyDescent="0.2">
      <c r="A3" s="52"/>
      <c r="B3" s="78" t="s">
        <v>49</v>
      </c>
      <c r="C3" s="11"/>
      <c r="D3" s="11" t="s">
        <v>77</v>
      </c>
      <c r="E3" s="164" t="s">
        <v>282</v>
      </c>
      <c r="F3" s="164"/>
      <c r="G3" s="164"/>
      <c r="H3" s="164"/>
      <c r="I3" s="164"/>
      <c r="J3" s="164"/>
      <c r="K3" s="164"/>
      <c r="L3" s="164"/>
      <c r="M3" s="164"/>
      <c r="N3" s="164"/>
      <c r="O3" s="164"/>
      <c r="P3" s="78" t="s">
        <v>144</v>
      </c>
      <c r="Q3" s="79" t="s">
        <v>16</v>
      </c>
      <c r="R3" s="52"/>
      <c r="S3" s="52"/>
      <c r="T3" s="76"/>
      <c r="U3" s="52"/>
      <c r="V3" s="52"/>
      <c r="W3" s="52"/>
      <c r="X3" s="52"/>
      <c r="Y3" s="52"/>
    </row>
    <row r="4" spans="1:30" ht="15.75" customHeight="1" x14ac:dyDescent="0.2">
      <c r="A4" s="52"/>
      <c r="B4" s="78" t="s">
        <v>88</v>
      </c>
      <c r="C4" s="11"/>
      <c r="D4" s="11" t="s">
        <v>76</v>
      </c>
      <c r="E4" s="164" t="s">
        <v>169</v>
      </c>
      <c r="F4" s="164"/>
      <c r="G4" s="164"/>
      <c r="H4" s="164"/>
      <c r="I4" s="164"/>
      <c r="J4" s="164"/>
      <c r="K4" s="164"/>
      <c r="L4" s="164"/>
      <c r="M4" s="164"/>
      <c r="N4" s="164"/>
      <c r="O4" s="164"/>
      <c r="P4" s="78" t="s">
        <v>4</v>
      </c>
      <c r="Q4" s="79" t="s">
        <v>20</v>
      </c>
      <c r="R4" s="52"/>
      <c r="S4" s="52"/>
      <c r="T4" s="76"/>
      <c r="U4" s="52"/>
      <c r="V4" s="52"/>
      <c r="W4" s="52"/>
      <c r="X4" s="52"/>
      <c r="Y4" s="52"/>
    </row>
    <row r="5" spans="1:30" ht="15.75" customHeight="1" x14ac:dyDescent="0.2">
      <c r="A5" s="52"/>
      <c r="B5" s="78" t="s">
        <v>50</v>
      </c>
      <c r="C5" s="11"/>
      <c r="D5" s="11" t="s">
        <v>78</v>
      </c>
      <c r="E5" s="52"/>
      <c r="F5" s="52"/>
      <c r="G5" s="52"/>
      <c r="H5" s="52"/>
      <c r="I5" s="52"/>
      <c r="J5" s="52"/>
      <c r="K5" s="52"/>
      <c r="L5" s="52"/>
      <c r="M5" s="52"/>
      <c r="N5" s="52"/>
      <c r="O5" s="52"/>
      <c r="P5" s="78" t="s">
        <v>23</v>
      </c>
      <c r="Q5" s="79" t="s">
        <v>58</v>
      </c>
      <c r="R5" s="52"/>
      <c r="S5" s="52"/>
      <c r="T5" s="76"/>
      <c r="U5" s="52"/>
      <c r="V5" s="52"/>
      <c r="W5" s="52"/>
      <c r="X5" s="52"/>
      <c r="Y5" s="52"/>
    </row>
    <row r="6" spans="1:30" ht="15.75" customHeight="1" x14ac:dyDescent="0.2">
      <c r="A6" s="52"/>
      <c r="B6" s="78" t="s">
        <v>85</v>
      </c>
      <c r="C6" s="11"/>
      <c r="D6" s="11" t="s">
        <v>65</v>
      </c>
      <c r="E6" s="52"/>
      <c r="F6" s="52"/>
      <c r="G6" s="52"/>
      <c r="H6" s="52"/>
      <c r="I6" s="52"/>
      <c r="J6" s="52"/>
      <c r="K6" s="52"/>
      <c r="L6" s="52"/>
      <c r="M6" s="52"/>
      <c r="N6" s="52"/>
      <c r="O6" s="52"/>
      <c r="P6" s="78" t="s">
        <v>145</v>
      </c>
      <c r="Q6" s="163">
        <v>4000224818</v>
      </c>
      <c r="R6" s="163"/>
      <c r="S6" s="52"/>
      <c r="T6" s="76"/>
      <c r="U6" s="52"/>
      <c r="V6" s="52"/>
      <c r="W6" s="52"/>
      <c r="X6" s="52"/>
      <c r="Y6" s="52"/>
    </row>
    <row r="7" spans="1:30" ht="15.75" customHeight="1" x14ac:dyDescent="0.2">
      <c r="A7" s="52"/>
      <c r="B7" s="52"/>
      <c r="C7" s="52"/>
      <c r="D7" s="52"/>
      <c r="E7" s="52"/>
      <c r="F7" s="52"/>
      <c r="G7" s="52"/>
      <c r="H7" s="52"/>
      <c r="I7" s="52"/>
      <c r="J7" s="52"/>
      <c r="K7" s="52"/>
      <c r="L7" s="52"/>
      <c r="M7" s="52"/>
      <c r="N7" s="52"/>
      <c r="O7" s="52"/>
      <c r="P7" s="52"/>
      <c r="Q7" s="52"/>
      <c r="R7" s="52"/>
      <c r="S7" s="52"/>
      <c r="T7" s="76"/>
      <c r="U7" s="52"/>
      <c r="V7" s="52"/>
      <c r="W7" s="52"/>
      <c r="X7" s="52"/>
      <c r="Y7" s="52"/>
    </row>
    <row r="8" spans="1:30" ht="26.25" customHeight="1" x14ac:dyDescent="0.2">
      <c r="A8" s="83" t="s">
        <v>146</v>
      </c>
      <c r="B8" s="83" t="s">
        <v>148</v>
      </c>
      <c r="C8" s="83" t="s">
        <v>170</v>
      </c>
      <c r="D8" s="83" t="s">
        <v>170</v>
      </c>
      <c r="E8" s="83" t="s">
        <v>149</v>
      </c>
      <c r="F8" s="83" t="s">
        <v>149</v>
      </c>
      <c r="G8" s="83" t="s">
        <v>152</v>
      </c>
      <c r="H8" s="83" t="s">
        <v>154</v>
      </c>
      <c r="I8" s="165" t="s">
        <v>155</v>
      </c>
      <c r="J8" s="165"/>
      <c r="K8" s="165"/>
      <c r="L8" s="166" t="s">
        <v>158</v>
      </c>
      <c r="M8" s="166"/>
      <c r="N8" s="166"/>
      <c r="O8" s="83"/>
      <c r="P8" s="83" t="s">
        <v>160</v>
      </c>
      <c r="Q8" s="83" t="s">
        <v>146</v>
      </c>
      <c r="R8" s="83" t="s">
        <v>146</v>
      </c>
      <c r="S8" s="159" t="s">
        <v>164</v>
      </c>
      <c r="T8" s="81"/>
      <c r="U8" s="80"/>
      <c r="V8" s="159" t="s">
        <v>167</v>
      </c>
      <c r="W8" s="159" t="s">
        <v>168</v>
      </c>
      <c r="X8" s="53"/>
      <c r="Y8" s="53"/>
      <c r="Z8" s="34"/>
      <c r="AA8" s="34"/>
      <c r="AB8" s="34"/>
      <c r="AC8" s="34"/>
      <c r="AD8" s="34"/>
    </row>
    <row r="9" spans="1:30" ht="12.75" customHeight="1" x14ac:dyDescent="0.2">
      <c r="A9" s="84" t="s">
        <v>147</v>
      </c>
      <c r="B9" s="84" t="s">
        <v>147</v>
      </c>
      <c r="C9" s="84" t="s">
        <v>171</v>
      </c>
      <c r="D9" s="84" t="s">
        <v>172</v>
      </c>
      <c r="E9" s="84" t="s">
        <v>150</v>
      </c>
      <c r="F9" s="84" t="s">
        <v>151</v>
      </c>
      <c r="G9" s="84" t="s">
        <v>153</v>
      </c>
      <c r="H9" s="84" t="s">
        <v>75</v>
      </c>
      <c r="I9" s="84" t="s">
        <v>74</v>
      </c>
      <c r="J9" s="84" t="s">
        <v>156</v>
      </c>
      <c r="K9" s="84" t="s">
        <v>157</v>
      </c>
      <c r="L9" s="111" t="s">
        <v>74</v>
      </c>
      <c r="M9" s="111" t="s">
        <v>156</v>
      </c>
      <c r="N9" s="111" t="s">
        <v>157</v>
      </c>
      <c r="O9" s="84" t="s">
        <v>159</v>
      </c>
      <c r="P9" s="84" t="s">
        <v>161</v>
      </c>
      <c r="Q9" s="84" t="s">
        <v>162</v>
      </c>
      <c r="R9" s="84" t="s">
        <v>163</v>
      </c>
      <c r="S9" s="160"/>
      <c r="T9" s="82" t="s">
        <v>165</v>
      </c>
      <c r="U9" s="53" t="s">
        <v>166</v>
      </c>
      <c r="V9" s="160"/>
      <c r="W9" s="160"/>
      <c r="X9" s="53"/>
      <c r="Y9" s="53"/>
      <c r="Z9" s="34"/>
      <c r="AA9" s="34"/>
      <c r="AB9" s="34"/>
      <c r="AC9" s="34"/>
      <c r="AD9" s="34"/>
    </row>
    <row r="10" spans="1:30" ht="20.100000000000001" customHeight="1" x14ac:dyDescent="0.2">
      <c r="A10" s="101" t="s">
        <v>249</v>
      </c>
      <c r="B10" s="102" t="s">
        <v>211</v>
      </c>
      <c r="C10" s="103">
        <v>0.20019999999999999</v>
      </c>
      <c r="D10" s="104">
        <f t="shared" ref="D10:D39" si="0">IF(C10, C10*25.4, "")</f>
        <v>5.0850799999999996</v>
      </c>
      <c r="E10" s="105">
        <v>75</v>
      </c>
      <c r="F10" s="105">
        <f t="shared" ref="F10:F39" si="1">IF(E10, (E10-32)*5/9, "")</f>
        <v>23.888888888888889</v>
      </c>
      <c r="G10" s="105">
        <v>30</v>
      </c>
      <c r="H10" s="104">
        <v>0.1</v>
      </c>
      <c r="I10" s="104">
        <v>65.266999999999996</v>
      </c>
      <c r="J10" s="104">
        <f t="shared" ref="J10:J39" si="2">IF(I10, (I10-K10)/2, "")</f>
        <v>29.370149999999999</v>
      </c>
      <c r="K10" s="104">
        <f t="shared" ref="K10:K39" si="3">IF(I10, I10*H10, "")</f>
        <v>6.5266999999999999</v>
      </c>
      <c r="L10" s="112">
        <f t="shared" ref="L10:L39" si="4">IF(I10, I10*6.89476, "")</f>
        <v>450.00030091999997</v>
      </c>
      <c r="M10" s="112">
        <f t="shared" ref="M10:M39" si="5">IF(I10, J10*6.89476, "")</f>
        <v>202.500135414</v>
      </c>
      <c r="N10" s="112">
        <f t="shared" ref="N10:N39" si="6">IF(I10, K10*6.89476, "")</f>
        <v>45.000030091999996</v>
      </c>
      <c r="O10" s="108">
        <v>15160</v>
      </c>
      <c r="P10" s="101" t="s">
        <v>246</v>
      </c>
      <c r="Q10" s="106">
        <v>0.2</v>
      </c>
      <c r="R10" s="102">
        <v>60061</v>
      </c>
      <c r="S10" s="109">
        <v>45691</v>
      </c>
      <c r="T10" s="76">
        <f t="shared" ref="T10:T39" si="7">IF(Q10, IF(Q10&gt;24, (Q10-24)* 13 + 386, 386), "")</f>
        <v>386</v>
      </c>
      <c r="U10" s="109">
        <v>45691</v>
      </c>
      <c r="V10" s="109">
        <v>45691</v>
      </c>
      <c r="W10" s="109">
        <v>45691</v>
      </c>
      <c r="X10" s="52"/>
      <c r="Y10" s="52"/>
    </row>
    <row r="11" spans="1:30" ht="20.100000000000001" customHeight="1" x14ac:dyDescent="0.2">
      <c r="A11" s="101" t="s">
        <v>250</v>
      </c>
      <c r="B11" s="102" t="s">
        <v>212</v>
      </c>
      <c r="C11" s="103">
        <v>0.19939999999999999</v>
      </c>
      <c r="D11" s="104">
        <f t="shared" si="0"/>
        <v>5.0647599999999997</v>
      </c>
      <c r="E11" s="105">
        <v>75</v>
      </c>
      <c r="F11" s="105">
        <f t="shared" si="1"/>
        <v>23.888888888888889</v>
      </c>
      <c r="G11" s="105">
        <v>30</v>
      </c>
      <c r="H11" s="104">
        <v>0.1</v>
      </c>
      <c r="I11" s="104">
        <v>65.266999999999996</v>
      </c>
      <c r="J11" s="104">
        <f t="shared" si="2"/>
        <v>29.370149999999999</v>
      </c>
      <c r="K11" s="104">
        <f t="shared" si="3"/>
        <v>6.5266999999999999</v>
      </c>
      <c r="L11" s="112">
        <f t="shared" si="4"/>
        <v>450.00030091999997</v>
      </c>
      <c r="M11" s="112">
        <f t="shared" si="5"/>
        <v>202.500135414</v>
      </c>
      <c r="N11" s="112">
        <f t="shared" si="6"/>
        <v>45.000030091999996</v>
      </c>
      <c r="O11" s="107">
        <v>74110</v>
      </c>
      <c r="P11" s="114" t="s">
        <v>259</v>
      </c>
      <c r="Q11" s="106">
        <v>0.7</v>
      </c>
      <c r="R11" s="102">
        <v>60040</v>
      </c>
      <c r="S11" s="109">
        <v>45691</v>
      </c>
      <c r="T11" s="76">
        <f t="shared" si="7"/>
        <v>386</v>
      </c>
      <c r="U11" s="109">
        <v>45691</v>
      </c>
      <c r="V11" s="109">
        <v>45691</v>
      </c>
      <c r="W11" s="109">
        <v>45691</v>
      </c>
      <c r="X11" s="52"/>
    </row>
    <row r="12" spans="1:30" ht="20.100000000000001" customHeight="1" x14ac:dyDescent="0.2">
      <c r="A12" s="101" t="s">
        <v>251</v>
      </c>
      <c r="B12" s="102" t="s">
        <v>213</v>
      </c>
      <c r="C12" s="103">
        <v>0.2001</v>
      </c>
      <c r="D12" s="104">
        <f t="shared" si="0"/>
        <v>5.0825399999999998</v>
      </c>
      <c r="E12" s="105">
        <v>75</v>
      </c>
      <c r="F12" s="105">
        <f t="shared" si="1"/>
        <v>23.888888888888889</v>
      </c>
      <c r="G12" s="105">
        <v>30</v>
      </c>
      <c r="H12" s="104">
        <v>0.1</v>
      </c>
      <c r="I12" s="104">
        <v>65.266999999999996</v>
      </c>
      <c r="J12" s="104">
        <f t="shared" si="2"/>
        <v>29.370149999999999</v>
      </c>
      <c r="K12" s="104">
        <f t="shared" si="3"/>
        <v>6.5266999999999999</v>
      </c>
      <c r="L12" s="112">
        <f t="shared" si="4"/>
        <v>450.00030091999997</v>
      </c>
      <c r="M12" s="112">
        <f t="shared" si="5"/>
        <v>202.500135414</v>
      </c>
      <c r="N12" s="112">
        <f t="shared" si="6"/>
        <v>45.000030091999996</v>
      </c>
      <c r="O12" s="107">
        <v>72340</v>
      </c>
      <c r="P12" s="101" t="s">
        <v>246</v>
      </c>
      <c r="Q12" s="106">
        <v>0.7</v>
      </c>
      <c r="R12" s="102">
        <v>60067</v>
      </c>
      <c r="S12" s="109">
        <v>45691</v>
      </c>
      <c r="T12" s="76">
        <f t="shared" si="7"/>
        <v>386</v>
      </c>
      <c r="U12" s="109">
        <v>45691</v>
      </c>
      <c r="V12" s="109">
        <v>45691</v>
      </c>
      <c r="W12" s="109">
        <v>45691</v>
      </c>
      <c r="X12" s="52"/>
      <c r="Y12" s="24"/>
    </row>
    <row r="13" spans="1:30" ht="20.100000000000001" customHeight="1" x14ac:dyDescent="0.2">
      <c r="A13" s="101" t="s">
        <v>252</v>
      </c>
      <c r="B13" s="102" t="s">
        <v>214</v>
      </c>
      <c r="C13" s="103">
        <v>0.1996</v>
      </c>
      <c r="D13" s="104">
        <f t="shared" si="0"/>
        <v>5.0698400000000001</v>
      </c>
      <c r="E13" s="105">
        <v>75</v>
      </c>
      <c r="F13" s="105">
        <f t="shared" si="1"/>
        <v>23.888888888888889</v>
      </c>
      <c r="G13" s="105">
        <v>30</v>
      </c>
      <c r="H13" s="104">
        <v>0.1</v>
      </c>
      <c r="I13" s="104">
        <v>65.266999999999996</v>
      </c>
      <c r="J13" s="104">
        <f t="shared" si="2"/>
        <v>29.370149999999999</v>
      </c>
      <c r="K13" s="104">
        <f t="shared" si="3"/>
        <v>6.5266999999999999</v>
      </c>
      <c r="L13" s="112">
        <f t="shared" si="4"/>
        <v>450.00030091999997</v>
      </c>
      <c r="M13" s="112">
        <f t="shared" si="5"/>
        <v>202.500135414</v>
      </c>
      <c r="N13" s="112">
        <f t="shared" si="6"/>
        <v>45.000030091999996</v>
      </c>
      <c r="O13" s="107">
        <v>69573</v>
      </c>
      <c r="P13" s="114" t="s">
        <v>259</v>
      </c>
      <c r="Q13" s="106">
        <v>0.6</v>
      </c>
      <c r="R13" s="102">
        <v>60052</v>
      </c>
      <c r="S13" s="109">
        <v>45691</v>
      </c>
      <c r="T13" s="76">
        <f t="shared" si="7"/>
        <v>386</v>
      </c>
      <c r="U13" s="109">
        <v>45691</v>
      </c>
      <c r="V13" s="109">
        <v>45691</v>
      </c>
      <c r="W13" s="109">
        <v>45691</v>
      </c>
      <c r="X13" s="52"/>
    </row>
    <row r="14" spans="1:30" ht="20.100000000000001" customHeight="1" x14ac:dyDescent="0.2">
      <c r="A14" s="101" t="s">
        <v>253</v>
      </c>
      <c r="B14" s="102" t="s">
        <v>215</v>
      </c>
      <c r="C14" s="103">
        <v>0.19939999999999999</v>
      </c>
      <c r="D14" s="104">
        <f t="shared" si="0"/>
        <v>5.0647599999999997</v>
      </c>
      <c r="E14" s="105">
        <v>75</v>
      </c>
      <c r="F14" s="105">
        <f t="shared" si="1"/>
        <v>23.888888888888889</v>
      </c>
      <c r="G14" s="105">
        <v>30</v>
      </c>
      <c r="H14" s="104">
        <v>0.1</v>
      </c>
      <c r="I14" s="104">
        <v>65.266999999999996</v>
      </c>
      <c r="J14" s="104">
        <f t="shared" si="2"/>
        <v>29.370149999999999</v>
      </c>
      <c r="K14" s="104">
        <f t="shared" si="3"/>
        <v>6.5266999999999999</v>
      </c>
      <c r="L14" s="112">
        <f t="shared" si="4"/>
        <v>450.00030091999997</v>
      </c>
      <c r="M14" s="112">
        <f t="shared" si="5"/>
        <v>202.500135414</v>
      </c>
      <c r="N14" s="112">
        <f t="shared" si="6"/>
        <v>45.000030091999996</v>
      </c>
      <c r="O14" s="107">
        <v>80607</v>
      </c>
      <c r="P14" s="114" t="s">
        <v>259</v>
      </c>
      <c r="Q14" s="106">
        <v>0.7</v>
      </c>
      <c r="R14" s="102">
        <v>60063</v>
      </c>
      <c r="S14" s="109">
        <v>45691</v>
      </c>
      <c r="T14" s="76">
        <f t="shared" si="7"/>
        <v>386</v>
      </c>
      <c r="U14" s="109">
        <v>45691</v>
      </c>
      <c r="V14" s="109">
        <v>45691</v>
      </c>
      <c r="W14" s="109">
        <v>45691</v>
      </c>
      <c r="X14" s="52"/>
      <c r="Y14" s="24"/>
    </row>
    <row r="15" spans="1:30" ht="20.100000000000001" customHeight="1" x14ac:dyDescent="0.2">
      <c r="A15" s="101" t="s">
        <v>254</v>
      </c>
      <c r="B15" s="102" t="s">
        <v>216</v>
      </c>
      <c r="C15" s="103">
        <v>0.20039999999999999</v>
      </c>
      <c r="D15" s="104">
        <f t="shared" si="0"/>
        <v>5.09016</v>
      </c>
      <c r="E15" s="105">
        <v>75</v>
      </c>
      <c r="F15" s="105">
        <f t="shared" si="1"/>
        <v>23.888888888888889</v>
      </c>
      <c r="G15" s="105">
        <v>30</v>
      </c>
      <c r="H15" s="104">
        <v>0.1</v>
      </c>
      <c r="I15" s="104">
        <v>65.266999999999996</v>
      </c>
      <c r="J15" s="104">
        <f t="shared" si="2"/>
        <v>29.370149999999999</v>
      </c>
      <c r="K15" s="104">
        <f t="shared" si="3"/>
        <v>6.5266999999999999</v>
      </c>
      <c r="L15" s="112">
        <f t="shared" si="4"/>
        <v>450.00030091999997</v>
      </c>
      <c r="M15" s="112">
        <f t="shared" si="5"/>
        <v>202.500135414</v>
      </c>
      <c r="N15" s="112">
        <f t="shared" si="6"/>
        <v>45.000030091999996</v>
      </c>
      <c r="O15" s="107">
        <v>124285</v>
      </c>
      <c r="P15" s="114" t="s">
        <v>259</v>
      </c>
      <c r="Q15" s="106">
        <v>1.2</v>
      </c>
      <c r="R15" s="102">
        <v>60146</v>
      </c>
      <c r="S15" s="109">
        <v>45691</v>
      </c>
      <c r="T15" s="76">
        <f t="shared" si="7"/>
        <v>386</v>
      </c>
      <c r="U15" s="109">
        <v>45691</v>
      </c>
      <c r="V15" s="109">
        <v>45691</v>
      </c>
      <c r="W15" s="109">
        <v>45691</v>
      </c>
      <c r="X15" s="52"/>
    </row>
    <row r="16" spans="1:30" ht="20.100000000000001" customHeight="1" x14ac:dyDescent="0.2">
      <c r="A16" s="101" t="s">
        <v>255</v>
      </c>
      <c r="B16" s="102" t="s">
        <v>217</v>
      </c>
      <c r="C16" s="103">
        <v>0.2006</v>
      </c>
      <c r="D16" s="104">
        <f t="shared" si="0"/>
        <v>5.0952399999999995</v>
      </c>
      <c r="E16" s="105">
        <v>75</v>
      </c>
      <c r="F16" s="105">
        <f t="shared" si="1"/>
        <v>23.888888888888889</v>
      </c>
      <c r="G16" s="105">
        <v>30</v>
      </c>
      <c r="H16" s="104">
        <v>0.1</v>
      </c>
      <c r="I16" s="104">
        <v>65.266999999999996</v>
      </c>
      <c r="J16" s="104">
        <f t="shared" si="2"/>
        <v>29.370149999999999</v>
      </c>
      <c r="K16" s="104">
        <f t="shared" si="3"/>
        <v>6.5266999999999999</v>
      </c>
      <c r="L16" s="112">
        <f t="shared" si="4"/>
        <v>450.00030091999997</v>
      </c>
      <c r="M16" s="112">
        <f t="shared" si="5"/>
        <v>202.500135414</v>
      </c>
      <c r="N16" s="112">
        <f t="shared" si="6"/>
        <v>45.000030091999996</v>
      </c>
      <c r="O16" s="107">
        <v>81400</v>
      </c>
      <c r="P16" s="101" t="s">
        <v>246</v>
      </c>
      <c r="Q16" s="106">
        <v>0.8</v>
      </c>
      <c r="R16" s="102">
        <v>60146</v>
      </c>
      <c r="S16" s="109">
        <v>45691</v>
      </c>
      <c r="T16" s="76">
        <f t="shared" si="7"/>
        <v>386</v>
      </c>
      <c r="U16" s="109">
        <v>45691</v>
      </c>
      <c r="V16" s="109">
        <v>45691</v>
      </c>
      <c r="W16" s="109">
        <v>45691</v>
      </c>
      <c r="X16" s="52"/>
      <c r="Y16" s="24"/>
    </row>
    <row r="17" spans="1:25" ht="20.100000000000001" customHeight="1" x14ac:dyDescent="0.2">
      <c r="A17" s="102" t="s">
        <v>256</v>
      </c>
      <c r="B17" s="102" t="s">
        <v>218</v>
      </c>
      <c r="C17" s="103">
        <v>0.20030000000000001</v>
      </c>
      <c r="D17" s="104">
        <f t="shared" si="0"/>
        <v>5.0876200000000003</v>
      </c>
      <c r="E17" s="105">
        <v>75</v>
      </c>
      <c r="F17" s="105">
        <f t="shared" si="1"/>
        <v>23.888888888888889</v>
      </c>
      <c r="G17" s="105">
        <v>30</v>
      </c>
      <c r="H17" s="104">
        <v>0.1</v>
      </c>
      <c r="I17" s="104">
        <v>65.266999999999996</v>
      </c>
      <c r="J17" s="104">
        <f t="shared" si="2"/>
        <v>29.370149999999999</v>
      </c>
      <c r="K17" s="104">
        <f t="shared" si="3"/>
        <v>6.5266999999999999</v>
      </c>
      <c r="L17" s="112">
        <f t="shared" si="4"/>
        <v>450.00030091999997</v>
      </c>
      <c r="M17" s="112">
        <f t="shared" si="5"/>
        <v>202.500135414</v>
      </c>
      <c r="N17" s="112">
        <f t="shared" si="6"/>
        <v>45.000030091999996</v>
      </c>
      <c r="O17" s="107">
        <v>18803</v>
      </c>
      <c r="P17" s="101" t="s">
        <v>246</v>
      </c>
      <c r="Q17" s="106">
        <v>0.21</v>
      </c>
      <c r="R17" s="102">
        <v>60146</v>
      </c>
      <c r="S17" s="109">
        <v>45691</v>
      </c>
      <c r="T17" s="76">
        <f t="shared" si="7"/>
        <v>386</v>
      </c>
      <c r="U17" s="109">
        <v>45691</v>
      </c>
      <c r="V17" s="109">
        <v>45691</v>
      </c>
      <c r="W17" s="109">
        <v>45691</v>
      </c>
      <c r="X17" s="52"/>
    </row>
    <row r="18" spans="1:25" ht="20.100000000000001" customHeight="1" x14ac:dyDescent="0.2">
      <c r="A18" s="101" t="s">
        <v>257</v>
      </c>
      <c r="B18" s="102" t="s">
        <v>219</v>
      </c>
      <c r="C18" s="103">
        <v>0.20030000000000001</v>
      </c>
      <c r="D18" s="104">
        <f t="shared" si="0"/>
        <v>5.0876200000000003</v>
      </c>
      <c r="E18" s="105">
        <v>75</v>
      </c>
      <c r="F18" s="105">
        <f t="shared" si="1"/>
        <v>23.888888888888889</v>
      </c>
      <c r="G18" s="105">
        <v>30</v>
      </c>
      <c r="H18" s="104">
        <v>0.1</v>
      </c>
      <c r="I18" s="104">
        <v>65.266999999999996</v>
      </c>
      <c r="J18" s="104">
        <f t="shared" si="2"/>
        <v>29.370149999999999</v>
      </c>
      <c r="K18" s="104">
        <f t="shared" si="3"/>
        <v>6.5266999999999999</v>
      </c>
      <c r="L18" s="112">
        <f t="shared" si="4"/>
        <v>450.00030091999997</v>
      </c>
      <c r="M18" s="112">
        <f t="shared" si="5"/>
        <v>202.500135414</v>
      </c>
      <c r="N18" s="112">
        <f t="shared" si="6"/>
        <v>45.000030091999996</v>
      </c>
      <c r="O18" s="107">
        <v>159974</v>
      </c>
      <c r="P18" s="101" t="s">
        <v>246</v>
      </c>
      <c r="Q18" s="106">
        <v>1.5</v>
      </c>
      <c r="R18" s="102">
        <v>60146</v>
      </c>
      <c r="S18" s="109">
        <v>45691</v>
      </c>
      <c r="T18" s="76">
        <f t="shared" si="7"/>
        <v>386</v>
      </c>
      <c r="U18" s="109">
        <v>45691</v>
      </c>
      <c r="V18" s="109">
        <v>45691</v>
      </c>
      <c r="W18" s="109">
        <v>45691</v>
      </c>
      <c r="X18" s="52"/>
      <c r="Y18" s="24"/>
    </row>
    <row r="19" spans="1:25" ht="20.100000000000001" customHeight="1" x14ac:dyDescent="0.2">
      <c r="A19" s="101" t="s">
        <v>258</v>
      </c>
      <c r="B19" s="102" t="s">
        <v>220</v>
      </c>
      <c r="C19" s="103">
        <v>0.20050000000000001</v>
      </c>
      <c r="D19" s="104">
        <f t="shared" si="0"/>
        <v>5.0926999999999998</v>
      </c>
      <c r="E19" s="105">
        <v>75</v>
      </c>
      <c r="F19" s="105">
        <f t="shared" si="1"/>
        <v>23.888888888888889</v>
      </c>
      <c r="G19" s="105">
        <v>30</v>
      </c>
      <c r="H19" s="104">
        <v>0.1</v>
      </c>
      <c r="I19" s="104">
        <v>65.266999999999996</v>
      </c>
      <c r="J19" s="104">
        <f t="shared" si="2"/>
        <v>29.370149999999999</v>
      </c>
      <c r="K19" s="104">
        <f t="shared" si="3"/>
        <v>6.5266999999999999</v>
      </c>
      <c r="L19" s="113">
        <f t="shared" si="4"/>
        <v>450.00030091999997</v>
      </c>
      <c r="M19" s="113">
        <f t="shared" si="5"/>
        <v>202.500135414</v>
      </c>
      <c r="N19" s="113">
        <f t="shared" si="6"/>
        <v>45.000030091999996</v>
      </c>
      <c r="O19" s="107">
        <v>167979</v>
      </c>
      <c r="P19" s="101" t="s">
        <v>246</v>
      </c>
      <c r="Q19" s="106">
        <v>1.6</v>
      </c>
      <c r="R19" s="102">
        <v>60146</v>
      </c>
      <c r="S19" s="109">
        <v>45691</v>
      </c>
      <c r="T19" s="76">
        <f t="shared" si="7"/>
        <v>386</v>
      </c>
      <c r="U19" s="109">
        <v>45691</v>
      </c>
      <c r="V19" s="109">
        <v>45691</v>
      </c>
      <c r="W19" s="109">
        <v>45691</v>
      </c>
      <c r="X19" s="52"/>
    </row>
    <row r="20" spans="1:25" ht="20.100000000000001" customHeight="1" x14ac:dyDescent="0.2">
      <c r="A20" s="100" t="s">
        <v>260</v>
      </c>
      <c r="B20" s="43" t="s">
        <v>221</v>
      </c>
      <c r="C20" s="71">
        <v>0.2009</v>
      </c>
      <c r="D20" s="72">
        <f t="shared" si="0"/>
        <v>5.1028599999999997</v>
      </c>
      <c r="E20" s="73">
        <v>75</v>
      </c>
      <c r="F20" s="73">
        <f t="shared" si="1"/>
        <v>23.888888888888889</v>
      </c>
      <c r="G20" s="73">
        <v>30</v>
      </c>
      <c r="H20" s="104">
        <v>0.1</v>
      </c>
      <c r="I20" s="104">
        <v>65.266999999999996</v>
      </c>
      <c r="J20" s="104">
        <f t="shared" si="2"/>
        <v>29.370149999999999</v>
      </c>
      <c r="K20" s="104">
        <f t="shared" si="3"/>
        <v>6.5266999999999999</v>
      </c>
      <c r="L20" s="112">
        <f t="shared" si="4"/>
        <v>450.00030091999997</v>
      </c>
      <c r="M20" s="112">
        <f t="shared" si="5"/>
        <v>202.500135414</v>
      </c>
      <c r="N20" s="112">
        <f t="shared" si="6"/>
        <v>45.000030091999996</v>
      </c>
      <c r="O20" s="75">
        <v>120955</v>
      </c>
      <c r="P20" s="100" t="s">
        <v>246</v>
      </c>
      <c r="Q20" s="74">
        <v>1.1000000000000001</v>
      </c>
      <c r="R20" s="43">
        <v>60061</v>
      </c>
      <c r="S20" s="109">
        <v>45684</v>
      </c>
      <c r="T20" s="76">
        <f t="shared" si="7"/>
        <v>386</v>
      </c>
      <c r="U20" s="109">
        <v>45691</v>
      </c>
      <c r="V20" s="109">
        <v>45691</v>
      </c>
      <c r="W20" s="109">
        <v>45691</v>
      </c>
      <c r="X20" s="24" t="s">
        <v>279</v>
      </c>
      <c r="Y20" s="24"/>
    </row>
    <row r="21" spans="1:25" ht="20.100000000000001" customHeight="1" x14ac:dyDescent="0.2">
      <c r="A21" s="100" t="s">
        <v>261</v>
      </c>
      <c r="B21" s="43" t="s">
        <v>222</v>
      </c>
      <c r="C21" s="71">
        <v>0.20039999999999999</v>
      </c>
      <c r="D21" s="72">
        <f t="shared" si="0"/>
        <v>5.09016</v>
      </c>
      <c r="E21" s="73">
        <v>75</v>
      </c>
      <c r="F21" s="73">
        <f t="shared" si="1"/>
        <v>23.888888888888889</v>
      </c>
      <c r="G21" s="73">
        <v>30</v>
      </c>
      <c r="H21" s="104">
        <v>0.1</v>
      </c>
      <c r="I21" s="104">
        <v>65.266999999999996</v>
      </c>
      <c r="J21" s="104">
        <f t="shared" si="2"/>
        <v>29.370149999999999</v>
      </c>
      <c r="K21" s="104">
        <f t="shared" si="3"/>
        <v>6.5266999999999999</v>
      </c>
      <c r="L21" s="112">
        <f t="shared" si="4"/>
        <v>450.00030091999997</v>
      </c>
      <c r="M21" s="112">
        <f t="shared" si="5"/>
        <v>202.500135414</v>
      </c>
      <c r="N21" s="112">
        <f t="shared" si="6"/>
        <v>45.000030091999996</v>
      </c>
      <c r="O21" s="75">
        <v>211183</v>
      </c>
      <c r="P21" s="100" t="s">
        <v>246</v>
      </c>
      <c r="Q21" s="74">
        <v>2</v>
      </c>
      <c r="R21" s="43">
        <v>60061</v>
      </c>
      <c r="S21" s="109">
        <v>45684</v>
      </c>
      <c r="T21" s="76">
        <f t="shared" si="7"/>
        <v>386</v>
      </c>
      <c r="U21" s="109">
        <v>45691</v>
      </c>
      <c r="V21" s="109">
        <v>45691</v>
      </c>
      <c r="W21" s="109">
        <v>45691</v>
      </c>
      <c r="X21" s="24" t="s">
        <v>284</v>
      </c>
    </row>
    <row r="22" spans="1:25" ht="20.100000000000001" customHeight="1" x14ac:dyDescent="0.2">
      <c r="A22" s="100" t="s">
        <v>262</v>
      </c>
      <c r="B22" s="43" t="s">
        <v>223</v>
      </c>
      <c r="C22" s="71">
        <v>0.20050000000000001</v>
      </c>
      <c r="D22" s="72">
        <f t="shared" si="0"/>
        <v>5.0926999999999998</v>
      </c>
      <c r="E22" s="73">
        <v>75</v>
      </c>
      <c r="F22" s="73">
        <f t="shared" si="1"/>
        <v>23.888888888888889</v>
      </c>
      <c r="G22" s="73">
        <v>30</v>
      </c>
      <c r="H22" s="104">
        <v>0.1</v>
      </c>
      <c r="I22" s="104">
        <v>65.266999999999996</v>
      </c>
      <c r="J22" s="104">
        <f t="shared" si="2"/>
        <v>29.370149999999999</v>
      </c>
      <c r="K22" s="104">
        <f t="shared" si="3"/>
        <v>6.5266999999999999</v>
      </c>
      <c r="L22" s="112">
        <f t="shared" si="4"/>
        <v>450.00030091999997</v>
      </c>
      <c r="M22" s="112">
        <f t="shared" si="5"/>
        <v>202.500135414</v>
      </c>
      <c r="N22" s="112">
        <f t="shared" si="6"/>
        <v>45.000030091999996</v>
      </c>
      <c r="O22" s="75">
        <v>24210</v>
      </c>
      <c r="P22" s="114" t="s">
        <v>259</v>
      </c>
      <c r="Q22" s="74">
        <v>0.2</v>
      </c>
      <c r="R22" s="43">
        <v>60146</v>
      </c>
      <c r="S22" s="109">
        <v>45691</v>
      </c>
      <c r="T22" s="76">
        <f t="shared" si="7"/>
        <v>386</v>
      </c>
      <c r="U22" s="109">
        <v>45691</v>
      </c>
      <c r="V22" s="109">
        <v>45691</v>
      </c>
      <c r="W22" s="109">
        <v>45691</v>
      </c>
      <c r="X22" s="52"/>
      <c r="Y22" s="52"/>
    </row>
    <row r="23" spans="1:25" ht="20.100000000000001" customHeight="1" x14ac:dyDescent="0.2">
      <c r="A23" s="100" t="s">
        <v>263</v>
      </c>
      <c r="B23" s="43" t="s">
        <v>224</v>
      </c>
      <c r="C23" s="71">
        <v>0.20039999999999999</v>
      </c>
      <c r="D23" s="72">
        <f t="shared" si="0"/>
        <v>5.09016</v>
      </c>
      <c r="E23" s="73">
        <v>75</v>
      </c>
      <c r="F23" s="73">
        <f t="shared" si="1"/>
        <v>23.888888888888889</v>
      </c>
      <c r="G23" s="73">
        <v>30</v>
      </c>
      <c r="H23" s="104">
        <v>0.1</v>
      </c>
      <c r="I23" s="104">
        <v>65.266999999999996</v>
      </c>
      <c r="J23" s="104">
        <f t="shared" si="2"/>
        <v>29.370149999999999</v>
      </c>
      <c r="K23" s="104">
        <f t="shared" si="3"/>
        <v>6.5266999999999999</v>
      </c>
      <c r="L23" s="112">
        <f t="shared" si="4"/>
        <v>450.00030091999997</v>
      </c>
      <c r="M23" s="112">
        <f t="shared" si="5"/>
        <v>202.500135414</v>
      </c>
      <c r="N23" s="112">
        <f t="shared" si="6"/>
        <v>45.000030091999996</v>
      </c>
      <c r="O23" s="75">
        <v>45986</v>
      </c>
      <c r="P23" s="114" t="s">
        <v>259</v>
      </c>
      <c r="Q23" s="74">
        <v>0.4</v>
      </c>
      <c r="R23" s="43">
        <v>60061</v>
      </c>
      <c r="S23" s="109">
        <v>45684</v>
      </c>
      <c r="T23" s="76">
        <f t="shared" si="7"/>
        <v>386</v>
      </c>
      <c r="U23" s="109">
        <v>45691</v>
      </c>
      <c r="V23" s="109">
        <v>45691</v>
      </c>
      <c r="W23" s="109">
        <v>45691</v>
      </c>
      <c r="X23" s="24" t="s">
        <v>283</v>
      </c>
      <c r="Y23" s="52"/>
    </row>
    <row r="24" spans="1:25" ht="20.100000000000001" customHeight="1" x14ac:dyDescent="0.2">
      <c r="A24" s="100" t="s">
        <v>264</v>
      </c>
      <c r="B24" s="43" t="s">
        <v>225</v>
      </c>
      <c r="C24" s="71">
        <v>0.20050000000000001</v>
      </c>
      <c r="D24" s="72">
        <f t="shared" si="0"/>
        <v>5.0926999999999998</v>
      </c>
      <c r="E24" s="73">
        <v>75</v>
      </c>
      <c r="F24" s="73">
        <f t="shared" si="1"/>
        <v>23.888888888888889</v>
      </c>
      <c r="G24" s="73">
        <v>30</v>
      </c>
      <c r="H24" s="104">
        <v>0.1</v>
      </c>
      <c r="I24" s="104">
        <v>65.266999999999996</v>
      </c>
      <c r="J24" s="104">
        <f t="shared" si="2"/>
        <v>29.370149999999999</v>
      </c>
      <c r="K24" s="104">
        <f t="shared" si="3"/>
        <v>6.5266999999999999</v>
      </c>
      <c r="L24" s="112">
        <f t="shared" si="4"/>
        <v>450.00030091999997</v>
      </c>
      <c r="M24" s="112">
        <f t="shared" si="5"/>
        <v>202.500135414</v>
      </c>
      <c r="N24" s="112">
        <f t="shared" si="6"/>
        <v>45.000030091999996</v>
      </c>
      <c r="O24" s="75">
        <v>17194</v>
      </c>
      <c r="P24" s="100" t="s">
        <v>246</v>
      </c>
      <c r="Q24" s="74">
        <v>0.2</v>
      </c>
      <c r="R24" s="43">
        <v>60146</v>
      </c>
      <c r="S24" s="109">
        <v>45691</v>
      </c>
      <c r="T24" s="76">
        <f t="shared" si="7"/>
        <v>386</v>
      </c>
      <c r="U24" s="109">
        <v>45691</v>
      </c>
      <c r="V24" s="109">
        <v>45691</v>
      </c>
      <c r="W24" s="109">
        <v>45691</v>
      </c>
      <c r="X24" s="52"/>
      <c r="Y24" s="52"/>
    </row>
    <row r="25" spans="1:25" ht="20.100000000000001" customHeight="1" x14ac:dyDescent="0.2">
      <c r="A25" s="101" t="s">
        <v>265</v>
      </c>
      <c r="B25" s="102" t="s">
        <v>226</v>
      </c>
      <c r="C25" s="103">
        <v>0.20030000000000001</v>
      </c>
      <c r="D25" s="104">
        <f t="shared" si="0"/>
        <v>5.0876200000000003</v>
      </c>
      <c r="E25" s="105">
        <v>75</v>
      </c>
      <c r="F25" s="105">
        <f t="shared" si="1"/>
        <v>23.888888888888889</v>
      </c>
      <c r="G25" s="105">
        <v>30</v>
      </c>
      <c r="H25" s="104">
        <v>0.1</v>
      </c>
      <c r="I25" s="104">
        <v>65.266999999999996</v>
      </c>
      <c r="J25" s="104">
        <f t="shared" si="2"/>
        <v>29.370149999999999</v>
      </c>
      <c r="K25" s="104">
        <f t="shared" si="3"/>
        <v>6.5266999999999999</v>
      </c>
      <c r="L25" s="112">
        <f t="shared" si="4"/>
        <v>450.00030091999997</v>
      </c>
      <c r="M25" s="112">
        <f t="shared" si="5"/>
        <v>202.500135414</v>
      </c>
      <c r="N25" s="112">
        <f t="shared" si="6"/>
        <v>45.000030091999996</v>
      </c>
      <c r="O25" s="107">
        <v>106528</v>
      </c>
      <c r="P25" s="114" t="s">
        <v>259</v>
      </c>
      <c r="Q25" s="106">
        <v>1</v>
      </c>
      <c r="R25" s="102">
        <v>60146</v>
      </c>
      <c r="S25" s="109">
        <v>45691</v>
      </c>
      <c r="T25" s="76">
        <f t="shared" si="7"/>
        <v>386</v>
      </c>
      <c r="U25" s="109">
        <v>45691</v>
      </c>
      <c r="V25" s="109">
        <v>45691</v>
      </c>
      <c r="W25" s="109">
        <v>45691</v>
      </c>
      <c r="X25" s="52"/>
      <c r="Y25" s="52"/>
    </row>
    <row r="26" spans="1:25" ht="20.100000000000001" customHeight="1" x14ac:dyDescent="0.2">
      <c r="A26" s="101" t="s">
        <v>266</v>
      </c>
      <c r="B26" s="102" t="s">
        <v>227</v>
      </c>
      <c r="C26" s="103">
        <v>0.20039999999999999</v>
      </c>
      <c r="D26" s="104">
        <f t="shared" si="0"/>
        <v>5.09016</v>
      </c>
      <c r="E26" s="105">
        <v>75</v>
      </c>
      <c r="F26" s="105">
        <f t="shared" si="1"/>
        <v>23.888888888888889</v>
      </c>
      <c r="G26" s="105">
        <v>30</v>
      </c>
      <c r="H26" s="104">
        <v>0.1</v>
      </c>
      <c r="I26" s="104">
        <v>65.266999999999996</v>
      </c>
      <c r="J26" s="104">
        <f t="shared" si="2"/>
        <v>29.370149999999999</v>
      </c>
      <c r="K26" s="104">
        <f t="shared" si="3"/>
        <v>6.5266999999999999</v>
      </c>
      <c r="L26" s="112">
        <f t="shared" si="4"/>
        <v>450.00030091999997</v>
      </c>
      <c r="M26" s="112">
        <f t="shared" si="5"/>
        <v>202.500135414</v>
      </c>
      <c r="N26" s="112">
        <f t="shared" si="6"/>
        <v>45.000030091999996</v>
      </c>
      <c r="O26" s="107">
        <v>58088</v>
      </c>
      <c r="P26" s="101" t="s">
        <v>268</v>
      </c>
      <c r="Q26" s="106">
        <v>0.5</v>
      </c>
      <c r="R26" s="102">
        <v>60023</v>
      </c>
      <c r="S26" s="109">
        <v>45691</v>
      </c>
      <c r="T26" s="76">
        <f t="shared" si="7"/>
        <v>386</v>
      </c>
      <c r="U26" s="109">
        <v>45691</v>
      </c>
      <c r="V26" s="109">
        <v>45691</v>
      </c>
      <c r="W26" s="109">
        <v>45691</v>
      </c>
      <c r="X26" s="52"/>
      <c r="Y26" s="52"/>
    </row>
    <row r="27" spans="1:25" ht="20.100000000000001" customHeight="1" x14ac:dyDescent="0.2">
      <c r="A27" s="101" t="s">
        <v>248</v>
      </c>
      <c r="B27" s="102" t="s">
        <v>228</v>
      </c>
      <c r="C27" s="103">
        <v>0.2</v>
      </c>
      <c r="D27" s="104">
        <f t="shared" si="0"/>
        <v>5.08</v>
      </c>
      <c r="E27" s="105">
        <v>75</v>
      </c>
      <c r="F27" s="105">
        <f t="shared" si="1"/>
        <v>23.888888888888889</v>
      </c>
      <c r="G27" s="105">
        <v>30</v>
      </c>
      <c r="H27" s="104">
        <v>0.1</v>
      </c>
      <c r="I27" s="104">
        <v>65.266999999999996</v>
      </c>
      <c r="J27" s="104">
        <f t="shared" si="2"/>
        <v>29.370149999999999</v>
      </c>
      <c r="K27" s="104">
        <f t="shared" si="3"/>
        <v>6.5266999999999999</v>
      </c>
      <c r="L27" s="112">
        <f t="shared" si="4"/>
        <v>450.00030091999997</v>
      </c>
      <c r="M27" s="112">
        <f t="shared" si="5"/>
        <v>202.500135414</v>
      </c>
      <c r="N27" s="112">
        <f t="shared" si="6"/>
        <v>45.000030091999996</v>
      </c>
      <c r="O27" s="107">
        <v>43046</v>
      </c>
      <c r="P27" s="114" t="s">
        <v>259</v>
      </c>
      <c r="Q27" s="106">
        <v>0.4</v>
      </c>
      <c r="R27" s="102">
        <v>60040</v>
      </c>
      <c r="S27" s="109">
        <v>45691</v>
      </c>
      <c r="T27" s="76">
        <f t="shared" si="7"/>
        <v>386</v>
      </c>
      <c r="U27" s="109">
        <v>45691</v>
      </c>
      <c r="V27" s="109">
        <v>45691</v>
      </c>
      <c r="W27" s="109">
        <v>45691</v>
      </c>
      <c r="X27" s="52"/>
      <c r="Y27" s="52"/>
    </row>
    <row r="28" spans="1:25" ht="20.100000000000001" customHeight="1" x14ac:dyDescent="0.2">
      <c r="A28" s="101" t="s">
        <v>267</v>
      </c>
      <c r="B28" s="102" t="s">
        <v>229</v>
      </c>
      <c r="C28" s="103">
        <v>0.2001</v>
      </c>
      <c r="D28" s="104">
        <f t="shared" si="0"/>
        <v>5.0825399999999998</v>
      </c>
      <c r="E28" s="105">
        <v>75</v>
      </c>
      <c r="F28" s="105">
        <f t="shared" si="1"/>
        <v>23.888888888888889</v>
      </c>
      <c r="G28" s="105">
        <v>30</v>
      </c>
      <c r="H28" s="104">
        <v>0.1</v>
      </c>
      <c r="I28" s="104">
        <v>65.266999999999996</v>
      </c>
      <c r="J28" s="104">
        <f t="shared" si="2"/>
        <v>29.370149999999999</v>
      </c>
      <c r="K28" s="104">
        <f t="shared" si="3"/>
        <v>6.5266999999999999</v>
      </c>
      <c r="L28" s="112">
        <f t="shared" si="4"/>
        <v>450.00030091999997</v>
      </c>
      <c r="M28" s="112">
        <f t="shared" si="5"/>
        <v>202.500135414</v>
      </c>
      <c r="N28" s="112">
        <f t="shared" si="6"/>
        <v>45.000030091999996</v>
      </c>
      <c r="O28" s="107">
        <v>77038</v>
      </c>
      <c r="P28" s="114" t="s">
        <v>259</v>
      </c>
      <c r="Q28" s="106">
        <v>0.7</v>
      </c>
      <c r="R28" s="102">
        <v>60052</v>
      </c>
      <c r="S28" s="109">
        <v>45691</v>
      </c>
      <c r="T28" s="76">
        <f t="shared" si="7"/>
        <v>386</v>
      </c>
      <c r="U28" s="109">
        <v>45691</v>
      </c>
      <c r="V28" s="109">
        <v>45691</v>
      </c>
      <c r="W28" s="109">
        <v>45691</v>
      </c>
      <c r="X28" s="52"/>
      <c r="Y28" s="52"/>
    </row>
    <row r="29" spans="1:25" ht="20.100000000000001" customHeight="1" x14ac:dyDescent="0.2">
      <c r="A29" s="101" t="s">
        <v>269</v>
      </c>
      <c r="B29" s="102" t="s">
        <v>230</v>
      </c>
      <c r="C29" s="103">
        <v>0.20019999999999999</v>
      </c>
      <c r="D29" s="104">
        <f t="shared" si="0"/>
        <v>5.0850799999999996</v>
      </c>
      <c r="E29" s="105">
        <v>75</v>
      </c>
      <c r="F29" s="105">
        <f t="shared" si="1"/>
        <v>23.888888888888889</v>
      </c>
      <c r="G29" s="105">
        <v>30</v>
      </c>
      <c r="H29" s="104">
        <v>0.1</v>
      </c>
      <c r="I29" s="104">
        <v>65.266999999999996</v>
      </c>
      <c r="J29" s="104">
        <f t="shared" si="2"/>
        <v>29.370149999999999</v>
      </c>
      <c r="K29" s="104">
        <f t="shared" si="3"/>
        <v>6.5266999999999999</v>
      </c>
      <c r="L29" s="113">
        <f t="shared" si="4"/>
        <v>450.00030091999997</v>
      </c>
      <c r="M29" s="113">
        <f t="shared" si="5"/>
        <v>202.500135414</v>
      </c>
      <c r="N29" s="113">
        <f t="shared" si="6"/>
        <v>45.000030091999996</v>
      </c>
      <c r="O29" s="107">
        <v>90935</v>
      </c>
      <c r="P29" s="101" t="s">
        <v>246</v>
      </c>
      <c r="Q29" s="106">
        <v>0.8</v>
      </c>
      <c r="R29" s="102">
        <v>60023</v>
      </c>
      <c r="S29" s="109">
        <v>45691</v>
      </c>
      <c r="T29" s="76">
        <f t="shared" si="7"/>
        <v>386</v>
      </c>
      <c r="U29" s="109">
        <v>45691</v>
      </c>
      <c r="V29" s="109">
        <v>45691</v>
      </c>
      <c r="W29" s="109">
        <v>45691</v>
      </c>
      <c r="X29" s="52"/>
      <c r="Y29" s="52"/>
    </row>
    <row r="30" spans="1:25" ht="20.100000000000001" customHeight="1" x14ac:dyDescent="0.2">
      <c r="A30" s="101" t="s">
        <v>270</v>
      </c>
      <c r="B30" s="102" t="s">
        <v>231</v>
      </c>
      <c r="C30" s="103">
        <v>0.20032</v>
      </c>
      <c r="D30" s="104">
        <f t="shared" si="0"/>
        <v>5.0881279999999993</v>
      </c>
      <c r="E30" s="105">
        <v>75</v>
      </c>
      <c r="F30" s="105">
        <f t="shared" si="1"/>
        <v>23.888888888888889</v>
      </c>
      <c r="G30" s="105">
        <v>30</v>
      </c>
      <c r="H30" s="104">
        <v>0.1</v>
      </c>
      <c r="I30" s="104">
        <v>65.266999999999996</v>
      </c>
      <c r="J30" s="104">
        <f t="shared" si="2"/>
        <v>29.370149999999999</v>
      </c>
      <c r="K30" s="104">
        <f t="shared" si="3"/>
        <v>6.5266999999999999</v>
      </c>
      <c r="L30" s="112">
        <f t="shared" si="4"/>
        <v>450.00030091999997</v>
      </c>
      <c r="M30" s="112">
        <f t="shared" si="5"/>
        <v>202.500135414</v>
      </c>
      <c r="N30" s="112">
        <f t="shared" si="6"/>
        <v>45.000030091999996</v>
      </c>
      <c r="O30" s="107">
        <v>124760</v>
      </c>
      <c r="P30" s="101" t="s">
        <v>246</v>
      </c>
      <c r="Q30" s="106">
        <v>1.2</v>
      </c>
      <c r="R30" s="102">
        <v>60146</v>
      </c>
      <c r="S30" s="109">
        <v>45691</v>
      </c>
      <c r="T30" s="76">
        <f t="shared" si="7"/>
        <v>386</v>
      </c>
      <c r="U30" s="109">
        <v>45691</v>
      </c>
      <c r="V30" s="109">
        <v>45691</v>
      </c>
      <c r="W30" s="109">
        <v>45691</v>
      </c>
      <c r="X30" s="52"/>
      <c r="Y30" s="52"/>
    </row>
    <row r="31" spans="1:25" ht="20.100000000000001" customHeight="1" x14ac:dyDescent="0.2">
      <c r="A31" s="101" t="s">
        <v>271</v>
      </c>
      <c r="B31" s="102" t="s">
        <v>232</v>
      </c>
      <c r="C31" s="103">
        <v>0.20039999999999999</v>
      </c>
      <c r="D31" s="104">
        <f t="shared" si="0"/>
        <v>5.09016</v>
      </c>
      <c r="E31" s="105">
        <v>75</v>
      </c>
      <c r="F31" s="105">
        <f t="shared" si="1"/>
        <v>23.888888888888889</v>
      </c>
      <c r="G31" s="105">
        <v>30</v>
      </c>
      <c r="H31" s="104">
        <v>0.1</v>
      </c>
      <c r="I31" s="104">
        <v>65.266999999999996</v>
      </c>
      <c r="J31" s="104">
        <f t="shared" si="2"/>
        <v>29.370149999999999</v>
      </c>
      <c r="K31" s="104">
        <f t="shared" si="3"/>
        <v>6.5266999999999999</v>
      </c>
      <c r="L31" s="112">
        <f t="shared" si="4"/>
        <v>450.00030091999997</v>
      </c>
      <c r="M31" s="112">
        <f t="shared" si="5"/>
        <v>202.500135414</v>
      </c>
      <c r="N31" s="112">
        <f t="shared" si="6"/>
        <v>45.000030091999996</v>
      </c>
      <c r="O31" s="107">
        <v>51112</v>
      </c>
      <c r="P31" s="114" t="s">
        <v>259</v>
      </c>
      <c r="Q31" s="106">
        <v>0.5</v>
      </c>
      <c r="R31" s="102">
        <v>60061</v>
      </c>
      <c r="S31" s="109">
        <v>45684</v>
      </c>
      <c r="T31" s="76">
        <f t="shared" si="7"/>
        <v>386</v>
      </c>
      <c r="U31" s="109">
        <v>45691</v>
      </c>
      <c r="V31" s="109">
        <v>45691</v>
      </c>
      <c r="W31" s="109">
        <v>45691</v>
      </c>
      <c r="X31" s="24" t="s">
        <v>285</v>
      </c>
      <c r="Y31" s="52"/>
    </row>
    <row r="32" spans="1:25" ht="20.100000000000001" customHeight="1" x14ac:dyDescent="0.2">
      <c r="A32" s="102" t="s">
        <v>247</v>
      </c>
      <c r="B32" s="102" t="s">
        <v>233</v>
      </c>
      <c r="C32" s="103">
        <v>0.19989999999999999</v>
      </c>
      <c r="D32" s="104">
        <f t="shared" si="0"/>
        <v>5.0774599999999994</v>
      </c>
      <c r="E32" s="105">
        <v>75</v>
      </c>
      <c r="F32" s="105">
        <f t="shared" si="1"/>
        <v>23.888888888888889</v>
      </c>
      <c r="G32" s="105">
        <v>30</v>
      </c>
      <c r="H32" s="104">
        <v>0.1</v>
      </c>
      <c r="I32" s="104">
        <v>65.266999999999996</v>
      </c>
      <c r="J32" s="104">
        <f t="shared" si="2"/>
        <v>29.370149999999999</v>
      </c>
      <c r="K32" s="104">
        <f t="shared" si="3"/>
        <v>6.5266999999999999</v>
      </c>
      <c r="L32" s="112">
        <f t="shared" si="4"/>
        <v>450.00030091999997</v>
      </c>
      <c r="M32" s="112">
        <f t="shared" si="5"/>
        <v>202.500135414</v>
      </c>
      <c r="N32" s="112">
        <f t="shared" si="6"/>
        <v>45.000030091999996</v>
      </c>
      <c r="O32" s="107">
        <v>25996</v>
      </c>
      <c r="P32" s="101" t="s">
        <v>246</v>
      </c>
      <c r="Q32" s="106">
        <v>0.2</v>
      </c>
      <c r="R32" s="102">
        <v>60040</v>
      </c>
      <c r="S32" s="109">
        <v>45691</v>
      </c>
      <c r="T32" s="76">
        <f t="shared" si="7"/>
        <v>386</v>
      </c>
      <c r="U32" s="109">
        <v>45691</v>
      </c>
      <c r="V32" s="109">
        <v>45691</v>
      </c>
      <c r="W32" s="109">
        <v>45691</v>
      </c>
      <c r="X32" s="52"/>
      <c r="Y32" s="52"/>
    </row>
    <row r="33" spans="1:25" ht="20.100000000000001" customHeight="1" x14ac:dyDescent="0.2">
      <c r="A33" s="102" t="s">
        <v>272</v>
      </c>
      <c r="B33" s="102" t="s">
        <v>234</v>
      </c>
      <c r="C33" s="103">
        <v>0.20019999999999999</v>
      </c>
      <c r="D33" s="104">
        <f t="shared" si="0"/>
        <v>5.0850799999999996</v>
      </c>
      <c r="E33" s="105">
        <v>75</v>
      </c>
      <c r="F33" s="105">
        <f t="shared" si="1"/>
        <v>23.888888888888889</v>
      </c>
      <c r="G33" s="105">
        <v>30</v>
      </c>
      <c r="H33" s="104">
        <v>0.1</v>
      </c>
      <c r="I33" s="104">
        <v>65.266999999999996</v>
      </c>
      <c r="J33" s="104">
        <f t="shared" si="2"/>
        <v>29.370149999999999</v>
      </c>
      <c r="K33" s="104">
        <f t="shared" si="3"/>
        <v>6.5266999999999999</v>
      </c>
      <c r="L33" s="112">
        <f t="shared" si="4"/>
        <v>450.00030091999997</v>
      </c>
      <c r="M33" s="112">
        <f t="shared" si="5"/>
        <v>202.500135414</v>
      </c>
      <c r="N33" s="112">
        <f t="shared" si="6"/>
        <v>45.000030091999996</v>
      </c>
      <c r="O33" s="107">
        <v>90780</v>
      </c>
      <c r="P33" s="101" t="s">
        <v>246</v>
      </c>
      <c r="Q33" s="106">
        <v>0.8</v>
      </c>
      <c r="R33" s="102">
        <v>60047</v>
      </c>
      <c r="S33" s="109">
        <v>45686</v>
      </c>
      <c r="T33" s="76">
        <f t="shared" si="7"/>
        <v>386</v>
      </c>
      <c r="U33" s="109">
        <v>45691</v>
      </c>
      <c r="V33" s="109">
        <v>45691</v>
      </c>
      <c r="W33" s="109">
        <v>45691</v>
      </c>
      <c r="X33" s="24" t="s">
        <v>280</v>
      </c>
      <c r="Y33" s="52"/>
    </row>
    <row r="34" spans="1:25" ht="20.100000000000001" customHeight="1" x14ac:dyDescent="0.2">
      <c r="A34" s="101" t="s">
        <v>245</v>
      </c>
      <c r="B34" s="102" t="s">
        <v>235</v>
      </c>
      <c r="C34" s="103">
        <v>0.2001</v>
      </c>
      <c r="D34" s="104">
        <f t="shared" si="0"/>
        <v>5.0825399999999998</v>
      </c>
      <c r="E34" s="105">
        <v>75</v>
      </c>
      <c r="F34" s="105">
        <f t="shared" si="1"/>
        <v>23.888888888888889</v>
      </c>
      <c r="G34" s="105">
        <v>30</v>
      </c>
      <c r="H34" s="104">
        <v>0.1</v>
      </c>
      <c r="I34" s="104">
        <v>65.266999999999996</v>
      </c>
      <c r="J34" s="104">
        <f t="shared" si="2"/>
        <v>29.370149999999999</v>
      </c>
      <c r="K34" s="104">
        <f t="shared" si="3"/>
        <v>6.5266999999999999</v>
      </c>
      <c r="L34" s="112">
        <f t="shared" si="4"/>
        <v>450.00030091999997</v>
      </c>
      <c r="M34" s="112">
        <f t="shared" si="5"/>
        <v>202.500135414</v>
      </c>
      <c r="N34" s="112">
        <f t="shared" si="6"/>
        <v>45.000030091999996</v>
      </c>
      <c r="O34" s="107">
        <v>133014</v>
      </c>
      <c r="P34" s="101" t="s">
        <v>246</v>
      </c>
      <c r="Q34" s="106">
        <v>1.2</v>
      </c>
      <c r="R34" s="102">
        <v>60040</v>
      </c>
      <c r="S34" s="109">
        <v>45691</v>
      </c>
      <c r="T34" s="76">
        <f t="shared" si="7"/>
        <v>386</v>
      </c>
      <c r="U34" s="109">
        <v>45691</v>
      </c>
      <c r="V34" s="109">
        <v>45691</v>
      </c>
      <c r="W34" s="109">
        <v>45691</v>
      </c>
      <c r="X34" s="52"/>
      <c r="Y34" s="52"/>
    </row>
    <row r="35" spans="1:25" ht="20.100000000000001" customHeight="1" x14ac:dyDescent="0.2">
      <c r="A35" s="101" t="s">
        <v>273</v>
      </c>
      <c r="B35" s="102" t="s">
        <v>236</v>
      </c>
      <c r="C35" s="103">
        <v>0.20019999999999999</v>
      </c>
      <c r="D35" s="104">
        <f t="shared" si="0"/>
        <v>5.0850799999999996</v>
      </c>
      <c r="E35" s="105">
        <v>75</v>
      </c>
      <c r="F35" s="105">
        <f t="shared" si="1"/>
        <v>23.888888888888889</v>
      </c>
      <c r="G35" s="105">
        <v>30</v>
      </c>
      <c r="H35" s="104">
        <v>0.1</v>
      </c>
      <c r="I35" s="104">
        <v>65.266999999999996</v>
      </c>
      <c r="J35" s="104">
        <f t="shared" si="2"/>
        <v>29.370149999999999</v>
      </c>
      <c r="K35" s="104">
        <f t="shared" si="3"/>
        <v>6.5266999999999999</v>
      </c>
      <c r="L35" s="112">
        <f t="shared" si="4"/>
        <v>450.00030091999997</v>
      </c>
      <c r="M35" s="112">
        <f t="shared" si="5"/>
        <v>202.500135414</v>
      </c>
      <c r="N35" s="112">
        <f t="shared" si="6"/>
        <v>45.000030091999996</v>
      </c>
      <c r="O35" s="107">
        <v>105940</v>
      </c>
      <c r="P35" s="101" t="s">
        <v>246</v>
      </c>
      <c r="Q35" s="106">
        <v>1</v>
      </c>
      <c r="R35" s="102">
        <v>60047</v>
      </c>
      <c r="S35" s="109">
        <v>45691</v>
      </c>
      <c r="T35" s="76">
        <f t="shared" si="7"/>
        <v>386</v>
      </c>
      <c r="U35" s="109">
        <v>45691</v>
      </c>
      <c r="V35" s="109">
        <v>45691</v>
      </c>
      <c r="W35" s="109">
        <v>45691</v>
      </c>
      <c r="X35" s="52"/>
      <c r="Y35" s="52"/>
    </row>
    <row r="36" spans="1:25" ht="20.100000000000001" customHeight="1" x14ac:dyDescent="0.2">
      <c r="A36" s="101" t="s">
        <v>274</v>
      </c>
      <c r="B36" s="102" t="s">
        <v>237</v>
      </c>
      <c r="C36" s="103">
        <v>0.2001</v>
      </c>
      <c r="D36" s="104">
        <f t="shared" si="0"/>
        <v>5.0825399999999998</v>
      </c>
      <c r="E36" s="105">
        <v>75</v>
      </c>
      <c r="F36" s="105">
        <f t="shared" si="1"/>
        <v>23.888888888888889</v>
      </c>
      <c r="G36" s="105">
        <v>30</v>
      </c>
      <c r="H36" s="104">
        <v>0.1</v>
      </c>
      <c r="I36" s="104">
        <v>65.266999999999996</v>
      </c>
      <c r="J36" s="104">
        <f t="shared" si="2"/>
        <v>29.370149999999999</v>
      </c>
      <c r="K36" s="104">
        <f t="shared" si="3"/>
        <v>6.5266999999999999</v>
      </c>
      <c r="L36" s="112">
        <f t="shared" si="4"/>
        <v>450.00030091999997</v>
      </c>
      <c r="M36" s="112">
        <f t="shared" si="5"/>
        <v>202.500135414</v>
      </c>
      <c r="N36" s="112">
        <f t="shared" si="6"/>
        <v>45.000030091999996</v>
      </c>
      <c r="O36" s="107">
        <v>316498</v>
      </c>
      <c r="P36" s="101" t="s">
        <v>246</v>
      </c>
      <c r="Q36" s="106">
        <v>2.9</v>
      </c>
      <c r="R36" s="102">
        <v>60047</v>
      </c>
      <c r="S36" s="109">
        <v>45691</v>
      </c>
      <c r="T36" s="76">
        <f t="shared" si="7"/>
        <v>386</v>
      </c>
      <c r="U36" s="109">
        <v>45691</v>
      </c>
      <c r="V36" s="109">
        <v>45691</v>
      </c>
      <c r="W36" s="109">
        <v>45691</v>
      </c>
      <c r="X36" s="52"/>
      <c r="Y36" s="52"/>
    </row>
    <row r="37" spans="1:25" ht="20.100000000000001" customHeight="1" x14ac:dyDescent="0.2">
      <c r="A37" s="101" t="s">
        <v>275</v>
      </c>
      <c r="B37" s="102" t="s">
        <v>238</v>
      </c>
      <c r="C37" s="110">
        <v>0.2001</v>
      </c>
      <c r="D37" s="104">
        <f t="shared" si="0"/>
        <v>5.0825399999999998</v>
      </c>
      <c r="E37" s="105">
        <v>75</v>
      </c>
      <c r="F37" s="105">
        <f t="shared" si="1"/>
        <v>23.888888888888889</v>
      </c>
      <c r="G37" s="105">
        <v>30</v>
      </c>
      <c r="H37" s="104">
        <v>0.1</v>
      </c>
      <c r="I37" s="104">
        <v>65.266999999999996</v>
      </c>
      <c r="J37" s="104">
        <f t="shared" si="2"/>
        <v>29.370149999999999</v>
      </c>
      <c r="K37" s="104">
        <f t="shared" si="3"/>
        <v>6.5266999999999999</v>
      </c>
      <c r="L37" s="112">
        <f t="shared" si="4"/>
        <v>450.00030091999997</v>
      </c>
      <c r="M37" s="112">
        <f t="shared" si="5"/>
        <v>202.500135414</v>
      </c>
      <c r="N37" s="112">
        <f t="shared" si="6"/>
        <v>45.000030091999996</v>
      </c>
      <c r="O37" s="107">
        <v>138368</v>
      </c>
      <c r="P37" s="101" t="s">
        <v>246</v>
      </c>
      <c r="Q37" s="106">
        <v>1.3</v>
      </c>
      <c r="R37" s="102">
        <v>60047</v>
      </c>
      <c r="S37" s="109">
        <v>45691</v>
      </c>
      <c r="T37" s="76">
        <f t="shared" si="7"/>
        <v>386</v>
      </c>
      <c r="U37" s="109">
        <v>45691</v>
      </c>
      <c r="V37" s="109">
        <v>45691</v>
      </c>
      <c r="W37" s="109">
        <v>45691</v>
      </c>
      <c r="X37" s="52"/>
      <c r="Y37" s="52"/>
    </row>
    <row r="38" spans="1:25" ht="20.100000000000001" customHeight="1" x14ac:dyDescent="0.2">
      <c r="A38" s="101" t="s">
        <v>276</v>
      </c>
      <c r="B38" s="102" t="s">
        <v>239</v>
      </c>
      <c r="C38" s="103">
        <v>0.2</v>
      </c>
      <c r="D38" s="104">
        <f t="shared" si="0"/>
        <v>5.08</v>
      </c>
      <c r="E38" s="105">
        <v>75</v>
      </c>
      <c r="F38" s="105">
        <f t="shared" si="1"/>
        <v>23.888888888888889</v>
      </c>
      <c r="G38" s="105">
        <v>30</v>
      </c>
      <c r="H38" s="104">
        <v>0.1</v>
      </c>
      <c r="I38" s="104">
        <v>65.266999999999996</v>
      </c>
      <c r="J38" s="104">
        <f t="shared" si="2"/>
        <v>29.370149999999999</v>
      </c>
      <c r="K38" s="104">
        <f t="shared" si="3"/>
        <v>6.5266999999999999</v>
      </c>
      <c r="L38" s="112">
        <f t="shared" si="4"/>
        <v>450.00030091999997</v>
      </c>
      <c r="M38" s="112">
        <f t="shared" si="5"/>
        <v>202.500135414</v>
      </c>
      <c r="N38" s="112">
        <f t="shared" si="6"/>
        <v>45.000030091999996</v>
      </c>
      <c r="O38" s="107">
        <v>159139</v>
      </c>
      <c r="P38" s="101" t="s">
        <v>246</v>
      </c>
      <c r="Q38" s="106">
        <v>1.5</v>
      </c>
      <c r="R38" s="102">
        <v>60047</v>
      </c>
      <c r="S38" s="109">
        <v>45691</v>
      </c>
      <c r="T38" s="76">
        <f t="shared" si="7"/>
        <v>386</v>
      </c>
      <c r="U38" s="109">
        <v>45691</v>
      </c>
      <c r="V38" s="109">
        <v>45691</v>
      </c>
      <c r="W38" s="109">
        <v>45691</v>
      </c>
      <c r="X38" s="52"/>
      <c r="Y38" s="52"/>
    </row>
    <row r="39" spans="1:25" ht="20.100000000000001" customHeight="1" x14ac:dyDescent="0.2">
      <c r="A39" s="101" t="s">
        <v>277</v>
      </c>
      <c r="B39" s="102" t="s">
        <v>240</v>
      </c>
      <c r="C39" s="103">
        <v>0.2</v>
      </c>
      <c r="D39" s="104">
        <f t="shared" si="0"/>
        <v>5.08</v>
      </c>
      <c r="E39" s="105">
        <v>75</v>
      </c>
      <c r="F39" s="105">
        <f t="shared" si="1"/>
        <v>23.888888888888889</v>
      </c>
      <c r="G39" s="105">
        <v>30</v>
      </c>
      <c r="H39" s="104">
        <v>0.1</v>
      </c>
      <c r="I39" s="104">
        <v>65.266999999999996</v>
      </c>
      <c r="J39" s="104">
        <f t="shared" si="2"/>
        <v>29.370149999999999</v>
      </c>
      <c r="K39" s="104">
        <f t="shared" si="3"/>
        <v>6.5266999999999999</v>
      </c>
      <c r="L39" s="112">
        <f t="shared" si="4"/>
        <v>450.00030091999997</v>
      </c>
      <c r="M39" s="112">
        <f t="shared" si="5"/>
        <v>202.500135414</v>
      </c>
      <c r="N39" s="112">
        <f t="shared" si="6"/>
        <v>45.000030091999996</v>
      </c>
      <c r="O39" s="107">
        <v>129053</v>
      </c>
      <c r="P39" s="101" t="s">
        <v>246</v>
      </c>
      <c r="Q39" s="106">
        <v>1.2</v>
      </c>
      <c r="R39" s="102">
        <v>60047</v>
      </c>
      <c r="S39" s="109">
        <v>45686</v>
      </c>
      <c r="T39" s="76">
        <f t="shared" si="7"/>
        <v>386</v>
      </c>
      <c r="U39" s="109">
        <v>45691</v>
      </c>
      <c r="V39" s="109">
        <v>45691</v>
      </c>
      <c r="W39" s="109">
        <v>45691</v>
      </c>
      <c r="X39" s="24" t="s">
        <v>286</v>
      </c>
      <c r="Y39" s="52"/>
    </row>
  </sheetData>
  <mergeCells count="9">
    <mergeCell ref="S8:S9"/>
    <mergeCell ref="V8:V9"/>
    <mergeCell ref="W8:W9"/>
    <mergeCell ref="Q2:R2"/>
    <mergeCell ref="E3:O3"/>
    <mergeCell ref="E4:O4"/>
    <mergeCell ref="Q6:R6"/>
    <mergeCell ref="I8:K8"/>
    <mergeCell ref="L8:N8"/>
  </mergeCells>
  <conditionalFormatting sqref="P1:P1048576">
    <cfRule type="cellIs" dxfId="1" priority="1" stopIfTrue="1" operator="equal">
      <formula>"Loading"</formula>
    </cfRule>
    <cfRule type="cellIs" dxfId="0" priority="2" operator="equal">
      <formula>"Running"</formula>
    </cfRule>
  </conditionalFormatting>
  <printOptions horizontalCentered="1"/>
  <pageMargins left="0.25" right="0.25" top="0.75" bottom="0.75" header="0.3" footer="0.3"/>
  <pageSetup scale="68" orientation="landscape" r:id="rId1"/>
  <headerFooter>
    <oddFooter>&amp;C&amp;8 Metcut Research Inc. • 3980 Rosslyn Drive • Cincinnati, OH  45209
Tel (513) 271-5100 • Fax (513) 271-9511
www.metcut.com&amp;LPage &amp;P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47"/>
  <sheetViews>
    <sheetView workbookViewId="0"/>
  </sheetViews>
  <sheetFormatPr defaultRowHeight="15" x14ac:dyDescent="0.2"/>
  <cols>
    <col min="1" max="1" width="19.7109375" style="92" customWidth="1"/>
    <col min="2" max="2" width="15.7109375" style="93" customWidth="1"/>
    <col min="8" max="8" width="21.7109375" customWidth="1"/>
    <col min="9" max="9" width="15.7109375" style="86" customWidth="1"/>
  </cols>
  <sheetData>
    <row r="1" spans="1:29" ht="15" customHeight="1" x14ac:dyDescent="0.2"/>
    <row r="2" spans="1:29" ht="15" customHeight="1" x14ac:dyDescent="0.2">
      <c r="A2" s="167" t="s">
        <v>243</v>
      </c>
      <c r="B2" s="168"/>
      <c r="C2" s="85"/>
      <c r="D2" s="85"/>
      <c r="E2" s="85"/>
      <c r="F2" s="85"/>
      <c r="G2" s="85"/>
      <c r="H2" s="85"/>
      <c r="I2" s="87"/>
      <c r="J2" s="85"/>
      <c r="K2" s="85"/>
      <c r="L2" s="85"/>
      <c r="M2" s="85"/>
      <c r="N2" s="85"/>
      <c r="O2" s="85"/>
      <c r="P2" s="85"/>
      <c r="Q2" s="85"/>
      <c r="R2" s="85"/>
      <c r="S2" s="85"/>
      <c r="T2" s="85"/>
      <c r="U2" s="85"/>
      <c r="V2" s="85"/>
      <c r="W2" s="85"/>
      <c r="X2" s="85"/>
      <c r="Y2" s="85"/>
      <c r="Z2" s="85"/>
      <c r="AA2" s="85"/>
      <c r="AB2" s="85"/>
      <c r="AC2" s="85"/>
    </row>
    <row r="3" spans="1:29" ht="15" customHeight="1" x14ac:dyDescent="0.2">
      <c r="A3" s="94" t="s">
        <v>173</v>
      </c>
      <c r="B3" s="95">
        <v>386</v>
      </c>
      <c r="C3" s="85"/>
      <c r="D3" s="85"/>
      <c r="E3" s="85"/>
      <c r="F3" s="85"/>
      <c r="G3" s="85"/>
      <c r="H3" s="85"/>
      <c r="I3" s="87"/>
      <c r="J3" s="85"/>
      <c r="K3" s="85"/>
      <c r="L3" s="85"/>
      <c r="M3" s="85"/>
      <c r="N3" s="85"/>
      <c r="O3" s="85"/>
      <c r="P3" s="85"/>
      <c r="Q3" s="85"/>
      <c r="R3" s="85"/>
      <c r="S3" s="85"/>
      <c r="T3" s="85"/>
      <c r="U3" s="85"/>
      <c r="V3" s="85"/>
      <c r="W3" s="85"/>
      <c r="X3" s="85"/>
      <c r="Y3" s="85"/>
      <c r="Z3" s="85"/>
      <c r="AA3" s="85"/>
      <c r="AB3" s="85"/>
      <c r="AC3" s="85"/>
    </row>
    <row r="4" spans="1:29" ht="15" customHeight="1" x14ac:dyDescent="0.2">
      <c r="A4" s="94" t="s">
        <v>174</v>
      </c>
      <c r="B4" s="95">
        <v>13</v>
      </c>
      <c r="C4" s="85"/>
      <c r="D4" s="85"/>
      <c r="E4" s="85"/>
      <c r="F4" s="85"/>
      <c r="G4" s="85"/>
      <c r="H4" s="85"/>
      <c r="I4" s="87"/>
      <c r="J4" s="85"/>
      <c r="K4" s="85"/>
      <c r="L4" s="85"/>
      <c r="M4" s="85"/>
      <c r="N4" s="85"/>
      <c r="O4" s="85"/>
      <c r="P4" s="85"/>
      <c r="Q4" s="85"/>
      <c r="R4" s="85"/>
      <c r="S4" s="85"/>
      <c r="T4" s="85"/>
      <c r="U4" s="85"/>
      <c r="V4" s="85"/>
      <c r="W4" s="85"/>
      <c r="X4" s="85"/>
      <c r="Y4" s="85"/>
      <c r="Z4" s="85"/>
      <c r="AA4" s="85"/>
      <c r="AB4" s="85"/>
      <c r="AC4" s="85"/>
    </row>
    <row r="5" spans="1:29" ht="15" customHeight="1" x14ac:dyDescent="0.2">
      <c r="A5" s="94" t="s">
        <v>175</v>
      </c>
      <c r="B5" s="95" t="e">
        <f>SUM('Table I'!#REF!)</f>
        <v>#REF!</v>
      </c>
      <c r="C5" s="85"/>
      <c r="D5" s="85"/>
      <c r="E5" s="85"/>
      <c r="F5" s="85"/>
      <c r="G5" s="85"/>
      <c r="H5" s="85"/>
      <c r="I5" s="87"/>
      <c r="J5" s="85"/>
      <c r="K5" s="85"/>
      <c r="L5" s="85"/>
      <c r="M5" s="85"/>
      <c r="N5" s="85"/>
      <c r="O5" s="85"/>
      <c r="P5" s="85"/>
      <c r="Q5" s="85"/>
      <c r="R5" s="85"/>
      <c r="S5" s="85"/>
      <c r="T5" s="85"/>
      <c r="U5" s="85"/>
      <c r="V5" s="85"/>
      <c r="W5" s="85"/>
      <c r="X5" s="85"/>
      <c r="Y5" s="85"/>
      <c r="Z5" s="85"/>
      <c r="AA5" s="85"/>
      <c r="AB5" s="85"/>
      <c r="AC5" s="85"/>
    </row>
    <row r="6" spans="1:29" ht="15" customHeight="1" x14ac:dyDescent="0.2"/>
    <row r="7" spans="1:29" ht="15" customHeight="1" x14ac:dyDescent="0.2">
      <c r="A7" s="167" t="s">
        <v>244</v>
      </c>
      <c r="B7" s="168"/>
    </row>
    <row r="8" spans="1:29" ht="15" customHeight="1" x14ac:dyDescent="0.2">
      <c r="A8" s="94" t="s">
        <v>173</v>
      </c>
      <c r="B8" s="95">
        <v>386</v>
      </c>
    </row>
    <row r="9" spans="1:29" ht="15" customHeight="1" thickBot="1" x14ac:dyDescent="0.25">
      <c r="A9" s="94" t="s">
        <v>174</v>
      </c>
      <c r="B9" s="95">
        <v>13</v>
      </c>
    </row>
    <row r="10" spans="1:29" ht="15" customHeight="1" x14ac:dyDescent="0.25">
      <c r="A10" s="94" t="s">
        <v>175</v>
      </c>
      <c r="B10" s="95">
        <f>SUM('Table II'!T:T)</f>
        <v>11580</v>
      </c>
      <c r="H10" s="88" t="s">
        <v>176</v>
      </c>
      <c r="I10" s="89">
        <v>59040</v>
      </c>
    </row>
    <row r="11" spans="1:29" ht="15" customHeight="1" thickBot="1" x14ac:dyDescent="0.3">
      <c r="H11" s="90" t="s">
        <v>177</v>
      </c>
      <c r="I11" s="91" t="e">
        <f>I10-B5-B10</f>
        <v>#REF!</v>
      </c>
    </row>
    <row r="12" spans="1:29" ht="15" customHeight="1" x14ac:dyDescent="0.2">
      <c r="A12" s="96"/>
      <c r="B12" s="97"/>
    </row>
    <row r="13" spans="1:29" ht="15" customHeight="1" x14ac:dyDescent="0.2"/>
    <row r="14" spans="1:29" ht="15" customHeight="1" x14ac:dyDescent="0.2"/>
    <row r="15" spans="1:29" ht="15" customHeight="1" x14ac:dyDescent="0.2"/>
    <row r="16" spans="1:29" ht="15" customHeight="1" x14ac:dyDescent="0.2"/>
    <row r="17" spans="1:2" ht="15" customHeight="1" x14ac:dyDescent="0.2">
      <c r="A17" s="96"/>
      <c r="B17" s="97"/>
    </row>
    <row r="18" spans="1:2" ht="15" customHeight="1" x14ac:dyDescent="0.2"/>
    <row r="19" spans="1:2" ht="15" customHeight="1" x14ac:dyDescent="0.2"/>
    <row r="20" spans="1:2" ht="15" customHeight="1" x14ac:dyDescent="0.2"/>
    <row r="21" spans="1:2" ht="15" customHeight="1" x14ac:dyDescent="0.2"/>
    <row r="22" spans="1:2" ht="15" customHeight="1" x14ac:dyDescent="0.2">
      <c r="A22" s="96"/>
      <c r="B22" s="97"/>
    </row>
    <row r="23" spans="1:2" ht="15" customHeight="1" x14ac:dyDescent="0.2"/>
    <row r="24" spans="1:2" ht="15" customHeight="1" x14ac:dyDescent="0.2"/>
    <row r="25" spans="1:2" ht="15" customHeight="1" x14ac:dyDescent="0.2"/>
    <row r="26" spans="1:2" ht="15" customHeight="1" x14ac:dyDescent="0.2"/>
    <row r="27" spans="1:2" ht="15" customHeight="1" x14ac:dyDescent="0.2">
      <c r="A27" s="96"/>
      <c r="B27" s="97"/>
    </row>
    <row r="28" spans="1:2" ht="15" customHeight="1" x14ac:dyDescent="0.2"/>
    <row r="29" spans="1:2" ht="15" customHeight="1" x14ac:dyDescent="0.2"/>
    <row r="30" spans="1:2" ht="15" customHeight="1" x14ac:dyDescent="0.2"/>
    <row r="31" spans="1:2" ht="15" customHeight="1" x14ac:dyDescent="0.2"/>
    <row r="32" spans="1:2" ht="15" customHeight="1" x14ac:dyDescent="0.2">
      <c r="A32" s="96"/>
      <c r="B32" s="97"/>
    </row>
    <row r="33" spans="1:2" ht="15" customHeight="1" x14ac:dyDescent="0.2"/>
    <row r="34" spans="1:2" ht="15" customHeight="1" x14ac:dyDescent="0.2"/>
    <row r="35" spans="1:2" ht="15" customHeight="1" x14ac:dyDescent="0.2"/>
    <row r="36" spans="1:2" ht="15" customHeight="1" x14ac:dyDescent="0.2"/>
    <row r="37" spans="1:2" ht="15" customHeight="1" x14ac:dyDescent="0.2">
      <c r="A37" s="96"/>
      <c r="B37" s="97"/>
    </row>
    <row r="38" spans="1:2" ht="15" customHeight="1" x14ac:dyDescent="0.2"/>
    <row r="39" spans="1:2" ht="15" customHeight="1" x14ac:dyDescent="0.2"/>
    <row r="40" spans="1:2" ht="15" customHeight="1" x14ac:dyDescent="0.2"/>
    <row r="41" spans="1:2" ht="15" customHeight="1" x14ac:dyDescent="0.2"/>
    <row r="42" spans="1:2" ht="15" customHeight="1" x14ac:dyDescent="0.2">
      <c r="A42" s="96"/>
      <c r="B42" s="97"/>
    </row>
    <row r="43" spans="1:2" ht="15" customHeight="1" x14ac:dyDescent="0.2"/>
    <row r="44" spans="1:2" ht="15" customHeight="1" x14ac:dyDescent="0.2"/>
    <row r="45" spans="1:2" ht="15" customHeight="1" x14ac:dyDescent="0.2"/>
    <row r="46" spans="1:2" ht="15" customHeight="1" x14ac:dyDescent="0.2"/>
    <row r="47" spans="1:2" ht="15" customHeight="1" x14ac:dyDescent="0.2">
      <c r="A47" s="96"/>
      <c r="B47" s="97"/>
    </row>
  </sheetData>
  <mergeCells count="2">
    <mergeCell ref="A2:B2"/>
    <mergeCell ref="A7:B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50"/>
  <sheetViews>
    <sheetView workbookViewId="0">
      <selection sqref="A1:J1"/>
    </sheetView>
  </sheetViews>
  <sheetFormatPr defaultRowHeight="12.75" x14ac:dyDescent="0.2"/>
  <cols>
    <col min="1" max="1" width="11.42578125" customWidth="1"/>
    <col min="2" max="2" width="7.7109375" customWidth="1"/>
    <col min="3" max="3" width="8.85546875" customWidth="1"/>
    <col min="4" max="4" width="5.140625" customWidth="1"/>
    <col min="5" max="5" width="7.28515625" customWidth="1"/>
    <col min="6" max="6" width="7.5703125" customWidth="1"/>
    <col min="7" max="7" width="16" customWidth="1"/>
    <col min="8" max="8" width="12.85546875" customWidth="1"/>
    <col min="9" max="10" width="10.7109375" customWidth="1"/>
  </cols>
  <sheetData>
    <row r="1" spans="1:10" ht="64.5" customHeight="1" x14ac:dyDescent="0.2">
      <c r="A1" s="123" t="s">
        <v>89</v>
      </c>
      <c r="B1" s="123"/>
      <c r="C1" s="123"/>
      <c r="D1" s="123"/>
      <c r="E1" s="123"/>
      <c r="F1" s="123"/>
      <c r="G1" s="123"/>
      <c r="H1" s="123"/>
      <c r="I1" s="123"/>
      <c r="J1" s="123"/>
    </row>
    <row r="2" spans="1:10" x14ac:dyDescent="0.2">
      <c r="A2" s="29" t="s">
        <v>79</v>
      </c>
      <c r="B2" s="26" t="s">
        <v>59</v>
      </c>
      <c r="C2" s="26"/>
      <c r="D2" s="26"/>
      <c r="H2" s="22" t="s">
        <v>81</v>
      </c>
      <c r="I2" s="20" t="s">
        <v>19</v>
      </c>
    </row>
    <row r="3" spans="1:10" x14ac:dyDescent="0.2">
      <c r="A3" s="25"/>
      <c r="B3" s="28" t="s">
        <v>80</v>
      </c>
      <c r="C3" s="26"/>
      <c r="D3" s="26"/>
      <c r="H3" s="22" t="s">
        <v>82</v>
      </c>
      <c r="I3" s="124">
        <f ca="1">TODAY()</f>
        <v>45741</v>
      </c>
      <c r="J3" s="124"/>
    </row>
    <row r="4" spans="1:10" x14ac:dyDescent="0.2">
      <c r="A4" s="25"/>
      <c r="B4" s="26" t="s">
        <v>60</v>
      </c>
      <c r="C4" s="26"/>
      <c r="D4" s="26"/>
      <c r="H4" s="22" t="s">
        <v>83</v>
      </c>
      <c r="I4" s="23">
        <v>4000224818</v>
      </c>
    </row>
    <row r="5" spans="1:10" x14ac:dyDescent="0.2">
      <c r="A5" s="25"/>
      <c r="B5" s="26" t="s">
        <v>61</v>
      </c>
      <c r="C5" s="26"/>
      <c r="D5" s="26"/>
      <c r="H5" s="22" t="s">
        <v>84</v>
      </c>
      <c r="I5" s="19" t="s">
        <v>58</v>
      </c>
    </row>
    <row r="6" spans="1:10" x14ac:dyDescent="0.2">
      <c r="A6" s="25"/>
      <c r="B6" s="26"/>
      <c r="C6" s="26"/>
      <c r="D6" s="26"/>
      <c r="H6" s="22"/>
      <c r="I6" s="19"/>
    </row>
    <row r="7" spans="1:10" x14ac:dyDescent="0.2">
      <c r="A7" s="25"/>
      <c r="B7" s="26"/>
      <c r="C7" s="26"/>
      <c r="D7" s="26"/>
    </row>
    <row r="8" spans="1:10" x14ac:dyDescent="0.2">
      <c r="A8" s="25"/>
      <c r="B8" s="26"/>
      <c r="C8" s="26"/>
      <c r="D8" s="26"/>
    </row>
    <row r="9" spans="1:10" ht="22.5" customHeight="1" x14ac:dyDescent="0.2">
      <c r="A9" s="31" t="s">
        <v>90</v>
      </c>
      <c r="B9" s="170" t="s">
        <v>91</v>
      </c>
      <c r="C9" s="170"/>
      <c r="D9" s="170" t="s">
        <v>92</v>
      </c>
      <c r="E9" s="170"/>
      <c r="F9" s="170"/>
      <c r="G9" s="170" t="s">
        <v>93</v>
      </c>
      <c r="H9" s="170"/>
      <c r="I9" s="170"/>
      <c r="J9" s="170"/>
    </row>
    <row r="10" spans="1:10" ht="22.5" customHeight="1" x14ac:dyDescent="0.2">
      <c r="A10" s="32">
        <v>0</v>
      </c>
      <c r="B10" s="169" t="s">
        <v>16</v>
      </c>
      <c r="C10" s="169"/>
      <c r="D10" s="171"/>
      <c r="E10" s="171"/>
      <c r="F10" s="171"/>
      <c r="G10" s="172" t="s">
        <v>94</v>
      </c>
      <c r="H10" s="172"/>
      <c r="I10" s="172"/>
      <c r="J10" s="172"/>
    </row>
    <row r="11" spans="1:10" ht="22.5" customHeight="1" x14ac:dyDescent="0.2">
      <c r="A11" s="32"/>
      <c r="B11" s="169"/>
      <c r="C11" s="169"/>
      <c r="D11" s="171"/>
      <c r="E11" s="171"/>
      <c r="F11" s="171"/>
      <c r="G11" s="172"/>
      <c r="H11" s="172"/>
      <c r="I11" s="172"/>
      <c r="J11" s="172"/>
    </row>
    <row r="12" spans="1:10" ht="22.5" customHeight="1" x14ac:dyDescent="0.2">
      <c r="A12" s="32"/>
      <c r="B12" s="169"/>
      <c r="C12" s="169"/>
      <c r="D12" s="171"/>
      <c r="E12" s="171"/>
      <c r="F12" s="171"/>
      <c r="G12" s="172"/>
      <c r="H12" s="172"/>
      <c r="I12" s="172"/>
      <c r="J12" s="172"/>
    </row>
    <row r="13" spans="1:10" ht="22.5" customHeight="1" x14ac:dyDescent="0.2">
      <c r="A13" s="32"/>
      <c r="B13" s="169"/>
      <c r="C13" s="169"/>
      <c r="D13" s="171"/>
      <c r="E13" s="171"/>
      <c r="F13" s="171"/>
      <c r="G13" s="172"/>
      <c r="H13" s="172"/>
      <c r="I13" s="172"/>
      <c r="J13" s="172"/>
    </row>
    <row r="14" spans="1:10" ht="22.5" customHeight="1" x14ac:dyDescent="0.2">
      <c r="A14" s="32"/>
      <c r="B14" s="169"/>
      <c r="C14" s="169"/>
      <c r="D14" s="171"/>
      <c r="E14" s="171"/>
      <c r="F14" s="171"/>
      <c r="G14" s="172"/>
      <c r="H14" s="172"/>
      <c r="I14" s="172"/>
      <c r="J14" s="172"/>
    </row>
    <row r="15" spans="1:10" ht="22.5" customHeight="1" x14ac:dyDescent="0.2">
      <c r="A15" s="32"/>
      <c r="B15" s="169"/>
      <c r="C15" s="169"/>
      <c r="D15" s="171"/>
      <c r="E15" s="171"/>
      <c r="F15" s="171"/>
      <c r="G15" s="172"/>
      <c r="H15" s="172"/>
      <c r="I15" s="172"/>
      <c r="J15" s="172"/>
    </row>
    <row r="16" spans="1:10" ht="22.5" customHeight="1" x14ac:dyDescent="0.2">
      <c r="A16" s="32"/>
      <c r="B16" s="169"/>
      <c r="C16" s="169"/>
      <c r="D16" s="171"/>
      <c r="E16" s="171"/>
      <c r="F16" s="171"/>
      <c r="G16" s="172"/>
      <c r="H16" s="172"/>
      <c r="I16" s="172"/>
      <c r="J16" s="172"/>
    </row>
    <row r="17" spans="1:10" x14ac:dyDescent="0.2">
      <c r="A17" s="27"/>
      <c r="B17" s="28"/>
      <c r="C17" s="28"/>
      <c r="D17" s="28"/>
      <c r="E17" s="18"/>
      <c r="F17" s="18"/>
      <c r="G17" s="18"/>
      <c r="H17" s="18"/>
      <c r="I17" s="18"/>
      <c r="J17" s="18"/>
    </row>
    <row r="18" spans="1:10" x14ac:dyDescent="0.2">
      <c r="A18" s="27"/>
      <c r="B18" s="28"/>
      <c r="C18" s="28"/>
      <c r="D18" s="28"/>
      <c r="E18" s="18"/>
      <c r="F18" s="18"/>
      <c r="G18" s="18"/>
      <c r="H18" s="18"/>
      <c r="I18" s="18"/>
      <c r="J18" s="18"/>
    </row>
    <row r="19" spans="1:10" x14ac:dyDescent="0.2">
      <c r="A19" s="27"/>
      <c r="B19" s="28"/>
      <c r="C19" s="28"/>
      <c r="D19" s="28"/>
      <c r="E19" s="18"/>
      <c r="F19" s="18"/>
      <c r="G19" s="18"/>
      <c r="H19" s="18"/>
      <c r="I19" s="18"/>
      <c r="J19" s="18"/>
    </row>
    <row r="20" spans="1:10" x14ac:dyDescent="0.2">
      <c r="A20" s="25"/>
      <c r="B20" s="26"/>
      <c r="C20" s="26"/>
      <c r="D20" s="26"/>
    </row>
    <row r="21" spans="1:10" x14ac:dyDescent="0.2">
      <c r="A21" s="25"/>
      <c r="B21" s="26"/>
      <c r="C21" s="26"/>
      <c r="D21" s="26"/>
    </row>
    <row r="22" spans="1:10" x14ac:dyDescent="0.2">
      <c r="A22" s="25"/>
      <c r="B22" s="26"/>
      <c r="C22" s="26"/>
      <c r="D22" s="26"/>
    </row>
    <row r="23" spans="1:10" x14ac:dyDescent="0.2">
      <c r="A23" s="25"/>
      <c r="B23" s="26"/>
      <c r="C23" s="26"/>
      <c r="D23" s="26"/>
    </row>
    <row r="24" spans="1:10" x14ac:dyDescent="0.2">
      <c r="A24" s="25"/>
      <c r="B24" s="26"/>
      <c r="C24" s="26"/>
      <c r="D24" s="26"/>
    </row>
    <row r="25" spans="1:10" x14ac:dyDescent="0.2">
      <c r="A25" s="25"/>
      <c r="B25" s="26"/>
      <c r="C25" s="26"/>
      <c r="D25" s="26"/>
    </row>
    <row r="26" spans="1:10" x14ac:dyDescent="0.2">
      <c r="A26" s="25"/>
      <c r="B26" s="26"/>
      <c r="C26" s="26"/>
      <c r="D26" s="26"/>
    </row>
    <row r="27" spans="1:10" x14ac:dyDescent="0.2">
      <c r="A27" s="25"/>
      <c r="B27" s="26"/>
      <c r="C27" s="26"/>
      <c r="D27" s="26"/>
    </row>
    <row r="28" spans="1:10" x14ac:dyDescent="0.2">
      <c r="A28" s="25"/>
      <c r="B28" s="26"/>
      <c r="C28" s="26"/>
      <c r="D28" s="26"/>
    </row>
    <row r="29" spans="1:10" x14ac:dyDescent="0.2">
      <c r="A29" s="25"/>
      <c r="B29" s="26"/>
      <c r="C29" s="26"/>
      <c r="D29" s="26"/>
    </row>
    <row r="30" spans="1:10" x14ac:dyDescent="0.2">
      <c r="A30" s="25"/>
      <c r="B30" s="26"/>
      <c r="C30" s="26"/>
      <c r="D30" s="26"/>
    </row>
    <row r="31" spans="1:10" x14ac:dyDescent="0.2">
      <c r="A31" s="25"/>
      <c r="B31" s="26"/>
      <c r="C31" s="26"/>
      <c r="D31" s="26"/>
    </row>
    <row r="32" spans="1:10" x14ac:dyDescent="0.2">
      <c r="A32" s="25"/>
      <c r="B32" s="26"/>
      <c r="C32" s="26"/>
      <c r="D32" s="26"/>
    </row>
    <row r="33" spans="1:4" x14ac:dyDescent="0.2">
      <c r="A33" s="26"/>
      <c r="B33" s="26"/>
      <c r="C33" s="26"/>
      <c r="D33" s="26"/>
    </row>
    <row r="34" spans="1:4" x14ac:dyDescent="0.2">
      <c r="A34" s="26"/>
      <c r="B34" s="26"/>
      <c r="C34" s="26"/>
      <c r="D34" s="26"/>
    </row>
    <row r="35" spans="1:4" x14ac:dyDescent="0.2">
      <c r="A35" s="26"/>
      <c r="B35" s="26"/>
      <c r="C35" s="26"/>
      <c r="D35" s="26"/>
    </row>
    <row r="36" spans="1:4" x14ac:dyDescent="0.2">
      <c r="A36" s="26"/>
      <c r="B36" s="26"/>
      <c r="C36" s="26"/>
      <c r="D36" s="26"/>
    </row>
    <row r="37" spans="1:4" x14ac:dyDescent="0.2">
      <c r="A37" s="24"/>
      <c r="B37" s="24"/>
      <c r="C37" s="24"/>
      <c r="D37" s="24"/>
    </row>
    <row r="38" spans="1:4" x14ac:dyDescent="0.2">
      <c r="A38" s="24"/>
      <c r="B38" s="24"/>
      <c r="C38" s="24"/>
      <c r="D38" s="24"/>
    </row>
    <row r="39" spans="1:4" x14ac:dyDescent="0.2">
      <c r="A39" s="24"/>
      <c r="B39" s="24"/>
      <c r="C39" s="24"/>
      <c r="D39" s="24"/>
    </row>
    <row r="40" spans="1:4" x14ac:dyDescent="0.2">
      <c r="A40" s="24"/>
      <c r="B40" s="24"/>
      <c r="C40" s="24"/>
      <c r="D40" s="24"/>
    </row>
    <row r="41" spans="1:4" x14ac:dyDescent="0.2">
      <c r="A41" s="24"/>
      <c r="B41" s="24"/>
      <c r="C41" s="24"/>
      <c r="D41" s="24"/>
    </row>
    <row r="42" spans="1:4" x14ac:dyDescent="0.2">
      <c r="A42" s="24"/>
      <c r="B42" s="24"/>
      <c r="C42" s="24"/>
      <c r="D42" s="24"/>
    </row>
    <row r="43" spans="1:4" x14ac:dyDescent="0.2">
      <c r="A43" s="24"/>
      <c r="B43" s="24"/>
      <c r="C43" s="24"/>
      <c r="D43" s="24"/>
    </row>
    <row r="44" spans="1:4" x14ac:dyDescent="0.2">
      <c r="A44" s="24"/>
      <c r="B44" s="24"/>
      <c r="C44" s="24"/>
      <c r="D44" s="24"/>
    </row>
    <row r="45" spans="1:4" x14ac:dyDescent="0.2">
      <c r="A45" s="24"/>
      <c r="B45" s="24"/>
      <c r="C45" s="24"/>
      <c r="D45" s="24"/>
    </row>
    <row r="46" spans="1:4" x14ac:dyDescent="0.2">
      <c r="A46" s="24"/>
      <c r="B46" s="24"/>
      <c r="C46" s="24"/>
      <c r="D46" s="24"/>
    </row>
    <row r="47" spans="1:4" x14ac:dyDescent="0.2">
      <c r="A47" s="24"/>
      <c r="B47" s="24"/>
      <c r="C47" s="24"/>
      <c r="D47" s="24"/>
    </row>
    <row r="48" spans="1:4" x14ac:dyDescent="0.2">
      <c r="A48" s="24"/>
      <c r="B48" s="24"/>
      <c r="C48" s="24"/>
      <c r="D48" s="24"/>
    </row>
    <row r="49" spans="1:4" x14ac:dyDescent="0.2">
      <c r="A49" s="24"/>
      <c r="B49" s="24"/>
      <c r="C49" s="24"/>
      <c r="D49" s="24"/>
    </row>
    <row r="50" spans="1:4" x14ac:dyDescent="0.2">
      <c r="A50" s="24"/>
      <c r="B50" s="24"/>
      <c r="C50" s="24"/>
      <c r="D50" s="24"/>
    </row>
  </sheetData>
  <mergeCells count="26">
    <mergeCell ref="G12:J12"/>
    <mergeCell ref="G11:J11"/>
    <mergeCell ref="G10:J10"/>
    <mergeCell ref="G9:J9"/>
    <mergeCell ref="D16:F16"/>
    <mergeCell ref="D15:F15"/>
    <mergeCell ref="D14:F14"/>
    <mergeCell ref="D13:F13"/>
    <mergeCell ref="D12:F12"/>
    <mergeCell ref="D11:F11"/>
    <mergeCell ref="A1:J1"/>
    <mergeCell ref="I3:J3"/>
    <mergeCell ref="B16:C16"/>
    <mergeCell ref="B15:C15"/>
    <mergeCell ref="B14:C14"/>
    <mergeCell ref="B13:C13"/>
    <mergeCell ref="B12:C12"/>
    <mergeCell ref="B11:C11"/>
    <mergeCell ref="B10:C10"/>
    <mergeCell ref="B9:C9"/>
    <mergeCell ref="D10:F10"/>
    <mergeCell ref="D9:F9"/>
    <mergeCell ref="G16:J16"/>
    <mergeCell ref="G15:J15"/>
    <mergeCell ref="G14:J14"/>
    <mergeCell ref="G13:J13"/>
  </mergeCells>
  <pageMargins left="0.7" right="0.7" top="0.75" bottom="0.75" header="0.3" footer="0.3"/>
  <pageSetup fitToHeight="0" orientation="portrait" r:id="rId1"/>
  <headerFooter>
    <oddFooter>&amp;LPage &amp;P of &amp;N&amp;C&amp;8 Metcut Research Inc. • 3980 Rosslyn Drive • Cincinnati, OH  45209
Tel (513) 271-5100 • Fax (513) 271-9511
www.metcut.com</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Test Selection</vt:lpstr>
      <vt:lpstr>Load Control Input</vt:lpstr>
      <vt:lpstr>10-123-01-01 - S1</vt:lpstr>
      <vt:lpstr>10-123-01-01 - S2</vt:lpstr>
      <vt:lpstr>FTS</vt:lpstr>
      <vt:lpstr>21-210-01-01 Labels</vt:lpstr>
      <vt:lpstr>MRI 1061</vt:lpstr>
      <vt:lpstr>21-210-01-01 Spec Instr</vt:lpstr>
      <vt:lpstr>J Drive</vt:lpstr>
      <vt:lpstr>Table I</vt:lpstr>
      <vt:lpstr>Table II</vt:lpstr>
      <vt:lpstr>PO Amount</vt:lpstr>
      <vt:lpstr>Revision 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Candelaresi</dc:creator>
  <cp:lastModifiedBy>Snow, Zackary</cp:lastModifiedBy>
  <cp:lastPrinted>2025-02-03T20:23:43Z</cp:lastPrinted>
  <dcterms:created xsi:type="dcterms:W3CDTF">2001-11-28T15:51:36Z</dcterms:created>
  <dcterms:modified xsi:type="dcterms:W3CDTF">2025-03-25T20:34:10Z</dcterms:modified>
</cp:coreProperties>
</file>